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21135" windowHeight="10170"/>
  </bookViews>
  <sheets>
    <sheet name="Hoja1" sheetId="1" r:id="rId1"/>
    <sheet name="Hoja2" sheetId="2" r:id="rId2"/>
    <sheet name="Hoja3" sheetId="3" r:id="rId3"/>
  </sheets>
  <calcPr calcId="124519"/>
</workbook>
</file>

<file path=xl/calcChain.xml><?xml version="1.0" encoding="utf-8"?>
<calcChain xmlns="http://schemas.openxmlformats.org/spreadsheetml/2006/main">
  <c r="K5" i="1"/>
  <c r="K6"/>
  <c r="K7"/>
  <c r="K8"/>
  <c r="K9"/>
  <c r="K10"/>
  <c r="K11"/>
  <c r="K12"/>
  <c r="K13"/>
  <c r="K14"/>
  <c r="K15"/>
  <c r="K16"/>
  <c r="K17"/>
  <c r="K18"/>
  <c r="K19"/>
  <c r="K20"/>
  <c r="K21"/>
  <c r="K22"/>
  <c r="K23"/>
  <c r="K24"/>
  <c r="K25"/>
  <c r="K26"/>
  <c r="K27"/>
  <c r="K28"/>
  <c r="K29"/>
  <c r="K30"/>
  <c r="K31"/>
  <c r="K32"/>
  <c r="K33"/>
  <c r="K34"/>
  <c r="K35"/>
  <c r="K36"/>
  <c r="K37"/>
  <c r="K38"/>
  <c r="K39"/>
  <c r="K40"/>
  <c r="K41"/>
  <c r="K42"/>
  <c r="K43"/>
  <c r="K44"/>
  <c r="K45"/>
  <c r="K46"/>
  <c r="K47"/>
  <c r="K48"/>
  <c r="K49"/>
  <c r="K50"/>
  <c r="K51"/>
  <c r="K52"/>
  <c r="K53"/>
  <c r="K54"/>
  <c r="K55"/>
  <c r="K56"/>
  <c r="K57"/>
  <c r="K58"/>
  <c r="K59"/>
  <c r="K60"/>
  <c r="K61"/>
  <c r="K62"/>
  <c r="K63"/>
  <c r="K64"/>
  <c r="K65"/>
  <c r="K66"/>
  <c r="K67"/>
  <c r="K68"/>
  <c r="K69"/>
  <c r="K70"/>
  <c r="K71"/>
  <c r="K72"/>
  <c r="K73"/>
  <c r="K74"/>
  <c r="K75"/>
  <c r="K76"/>
  <c r="K77"/>
  <c r="K78"/>
  <c r="K79"/>
  <c r="K80"/>
  <c r="K81"/>
  <c r="K82"/>
  <c r="K83"/>
  <c r="K84"/>
  <c r="K85"/>
  <c r="K86"/>
  <c r="K87"/>
  <c r="K88"/>
  <c r="K89"/>
  <c r="K90"/>
  <c r="K91"/>
  <c r="K92"/>
  <c r="K93"/>
  <c r="K94"/>
  <c r="K95"/>
  <c r="K96"/>
  <c r="K97"/>
  <c r="K98"/>
  <c r="K99"/>
  <c r="K100"/>
  <c r="K101"/>
  <c r="K102"/>
  <c r="K4"/>
  <c r="O5"/>
  <c r="O6"/>
  <c r="O7"/>
  <c r="O8"/>
  <c r="O9"/>
  <c r="O10"/>
  <c r="O11"/>
  <c r="O12"/>
  <c r="O13"/>
  <c r="O14"/>
  <c r="O15"/>
  <c r="O16"/>
  <c r="O17"/>
  <c r="O18"/>
  <c r="O19"/>
  <c r="O20"/>
  <c r="O21"/>
  <c r="O22"/>
  <c r="O23"/>
  <c r="O24"/>
  <c r="O25"/>
  <c r="O26"/>
  <c r="O27"/>
  <c r="O28"/>
  <c r="O29"/>
  <c r="O30"/>
  <c r="O31"/>
  <c r="O32"/>
  <c r="O33"/>
  <c r="O34"/>
  <c r="O35"/>
  <c r="O36"/>
  <c r="O37"/>
  <c r="O38"/>
  <c r="O39"/>
  <c r="O40"/>
  <c r="O41"/>
  <c r="O42"/>
  <c r="O43"/>
  <c r="O44"/>
  <c r="O45"/>
  <c r="O46"/>
  <c r="O47"/>
  <c r="O48"/>
  <c r="O49"/>
  <c r="O50"/>
  <c r="O51"/>
  <c r="O52"/>
  <c r="O53"/>
  <c r="O54"/>
  <c r="O55"/>
  <c r="O56"/>
  <c r="O57"/>
  <c r="O58"/>
  <c r="O59"/>
  <c r="O60"/>
  <c r="O61"/>
  <c r="O62"/>
  <c r="O63"/>
  <c r="O64"/>
  <c r="O65"/>
  <c r="O66"/>
  <c r="O67"/>
  <c r="O68"/>
  <c r="O69"/>
  <c r="O70"/>
  <c r="O71"/>
  <c r="O72"/>
  <c r="O73"/>
  <c r="O74"/>
  <c r="O75"/>
  <c r="O76"/>
  <c r="O77"/>
  <c r="O78"/>
  <c r="O79"/>
  <c r="O80"/>
  <c r="O81"/>
  <c r="O82"/>
  <c r="O83"/>
  <c r="O84"/>
  <c r="O85"/>
  <c r="O86"/>
  <c r="O87"/>
  <c r="O88"/>
  <c r="O89"/>
  <c r="O90"/>
  <c r="O91"/>
  <c r="O92"/>
  <c r="O93"/>
  <c r="O94"/>
  <c r="O95"/>
  <c r="O96"/>
  <c r="O97"/>
  <c r="O98"/>
  <c r="O99"/>
  <c r="O100"/>
  <c r="O101"/>
  <c r="O102"/>
  <c r="O4"/>
  <c r="L5"/>
  <c r="L6"/>
  <c r="L7"/>
  <c r="L8"/>
  <c r="L9"/>
  <c r="L10"/>
  <c r="L11"/>
  <c r="L12"/>
  <c r="L13"/>
  <c r="L14"/>
  <c r="L15"/>
  <c r="L16"/>
  <c r="L17"/>
  <c r="L18"/>
  <c r="L19"/>
  <c r="L20"/>
  <c r="L21"/>
  <c r="L22"/>
  <c r="L23"/>
  <c r="L24"/>
  <c r="L25"/>
  <c r="L26"/>
  <c r="L27"/>
  <c r="L28"/>
  <c r="L29"/>
  <c r="L30"/>
  <c r="L31"/>
  <c r="L32"/>
  <c r="L33"/>
  <c r="L34"/>
  <c r="L35"/>
  <c r="L36"/>
  <c r="L37"/>
  <c r="L38"/>
  <c r="L39"/>
  <c r="L40"/>
  <c r="L41"/>
  <c r="L42"/>
  <c r="L43"/>
  <c r="L44"/>
  <c r="L45"/>
  <c r="L46"/>
  <c r="L47"/>
  <c r="L48"/>
  <c r="L49"/>
  <c r="L50"/>
  <c r="L51"/>
  <c r="L52"/>
  <c r="L53"/>
  <c r="L54"/>
  <c r="L55"/>
  <c r="L56"/>
  <c r="L57"/>
  <c r="L58"/>
  <c r="L59"/>
  <c r="L60"/>
  <c r="L61"/>
  <c r="L62"/>
  <c r="L63"/>
  <c r="L64"/>
  <c r="L65"/>
  <c r="L66"/>
  <c r="L67"/>
  <c r="L68"/>
  <c r="L69"/>
  <c r="L70"/>
  <c r="L71"/>
  <c r="L72"/>
  <c r="L73"/>
  <c r="L74"/>
  <c r="L75"/>
  <c r="L76"/>
  <c r="L77"/>
  <c r="L78"/>
  <c r="L79"/>
  <c r="L80"/>
  <c r="L81"/>
  <c r="L82"/>
  <c r="L83"/>
  <c r="L84"/>
  <c r="L85"/>
  <c r="L86"/>
  <c r="L87"/>
  <c r="L88"/>
  <c r="L89"/>
  <c r="L90"/>
  <c r="L91"/>
  <c r="L92"/>
  <c r="L93"/>
  <c r="L94"/>
  <c r="L95"/>
  <c r="L96"/>
  <c r="L97"/>
  <c r="L98"/>
  <c r="L99"/>
  <c r="L100"/>
  <c r="L101"/>
  <c r="L102"/>
  <c r="L4"/>
  <c r="N5"/>
  <c r="N6"/>
  <c r="N7"/>
  <c r="N8"/>
  <c r="N9"/>
  <c r="N10"/>
  <c r="N11"/>
  <c r="N12"/>
  <c r="N13"/>
  <c r="N14"/>
  <c r="N15"/>
  <c r="N16"/>
  <c r="N17"/>
  <c r="N18"/>
  <c r="N19"/>
  <c r="N20"/>
  <c r="N21"/>
  <c r="N22"/>
  <c r="N23"/>
  <c r="N24"/>
  <c r="N25"/>
  <c r="N26"/>
  <c r="N27"/>
  <c r="N28"/>
  <c r="N29"/>
  <c r="N30"/>
  <c r="N31"/>
  <c r="N32"/>
  <c r="N33"/>
  <c r="N34"/>
  <c r="N35"/>
  <c r="N36"/>
  <c r="N37"/>
  <c r="N38"/>
  <c r="N39"/>
  <c r="N40"/>
  <c r="N41"/>
  <c r="N42"/>
  <c r="N43"/>
  <c r="N44"/>
  <c r="N45"/>
  <c r="N46"/>
  <c r="N47"/>
  <c r="N48"/>
  <c r="N49"/>
  <c r="N50"/>
  <c r="N51"/>
  <c r="N52"/>
  <c r="N53"/>
  <c r="N54"/>
  <c r="N55"/>
  <c r="N56"/>
  <c r="N57"/>
  <c r="N58"/>
  <c r="N59"/>
  <c r="N60"/>
  <c r="N61"/>
  <c r="N62"/>
  <c r="N63"/>
  <c r="N64"/>
  <c r="N65"/>
  <c r="N66"/>
  <c r="N67"/>
  <c r="N68"/>
  <c r="N69"/>
  <c r="N70"/>
  <c r="N71"/>
  <c r="N72"/>
  <c r="N73"/>
  <c r="N74"/>
  <c r="N75"/>
  <c r="N76"/>
  <c r="N77"/>
  <c r="N78"/>
  <c r="N79"/>
  <c r="N80"/>
  <c r="N81"/>
  <c r="N82"/>
  <c r="N83"/>
  <c r="N84"/>
  <c r="N85"/>
  <c r="N86"/>
  <c r="N87"/>
  <c r="N88"/>
  <c r="N89"/>
  <c r="N90"/>
  <c r="N91"/>
  <c r="N92"/>
  <c r="N93"/>
  <c r="N94"/>
  <c r="N95"/>
  <c r="N96"/>
  <c r="N97"/>
  <c r="N98"/>
  <c r="N99"/>
  <c r="N100"/>
  <c r="N101"/>
  <c r="N102"/>
  <c r="N4"/>
  <c r="M6"/>
  <c r="M7"/>
  <c r="M8"/>
  <c r="M9"/>
  <c r="M10"/>
  <c r="M11"/>
  <c r="M12"/>
  <c r="M13"/>
  <c r="M14"/>
  <c r="M15"/>
  <c r="M16"/>
  <c r="M17"/>
  <c r="M18"/>
  <c r="M19"/>
  <c r="M20"/>
  <c r="M21"/>
  <c r="M22"/>
  <c r="M23"/>
  <c r="M24"/>
  <c r="M25"/>
  <c r="M26"/>
  <c r="M27"/>
  <c r="M28"/>
  <c r="M29"/>
  <c r="M30"/>
  <c r="M31"/>
  <c r="M32"/>
  <c r="M33"/>
  <c r="M34"/>
  <c r="M35"/>
  <c r="M36"/>
  <c r="M37"/>
  <c r="M38"/>
  <c r="M39"/>
  <c r="M40"/>
  <c r="M41"/>
  <c r="M42"/>
  <c r="M43"/>
  <c r="M44"/>
  <c r="M45"/>
  <c r="M46"/>
  <c r="M47"/>
  <c r="M48"/>
  <c r="M49"/>
  <c r="M50"/>
  <c r="M51"/>
  <c r="M52"/>
  <c r="M53"/>
  <c r="M54"/>
  <c r="M55"/>
  <c r="M56"/>
  <c r="M57"/>
  <c r="M58"/>
  <c r="M59"/>
  <c r="M60"/>
  <c r="M61"/>
  <c r="M62"/>
  <c r="M63"/>
  <c r="M64"/>
  <c r="M65"/>
  <c r="M66"/>
  <c r="M67"/>
  <c r="M68"/>
  <c r="M69"/>
  <c r="M70"/>
  <c r="M71"/>
  <c r="M72"/>
  <c r="M73"/>
  <c r="M74"/>
  <c r="M75"/>
  <c r="M76"/>
  <c r="M77"/>
  <c r="M78"/>
  <c r="M79"/>
  <c r="M80"/>
  <c r="M81"/>
  <c r="M82"/>
  <c r="M83"/>
  <c r="M84"/>
  <c r="M85"/>
  <c r="M86"/>
  <c r="M87"/>
  <c r="M88"/>
  <c r="M89"/>
  <c r="M90"/>
  <c r="M91"/>
  <c r="M92"/>
  <c r="M93"/>
  <c r="M94"/>
  <c r="M95"/>
  <c r="M96"/>
  <c r="M97"/>
  <c r="M98"/>
  <c r="M99"/>
  <c r="M100"/>
  <c r="M101"/>
  <c r="M102"/>
  <c r="M4"/>
  <c r="M5"/>
</calcChain>
</file>

<file path=xl/sharedStrings.xml><?xml version="1.0" encoding="utf-8"?>
<sst xmlns="http://schemas.openxmlformats.org/spreadsheetml/2006/main" count="119" uniqueCount="113">
  <si>
    <t>HIPPARCOS</t>
  </si>
  <si>
    <t>Nombre</t>
  </si>
  <si>
    <t>Cat. HIP</t>
  </si>
  <si>
    <t>Vmag</t>
  </si>
  <si>
    <t>α[º]</t>
  </si>
  <si>
    <t>δ[º]</t>
  </si>
  <si>
    <t>μα[mas/y]</t>
  </si>
  <si>
    <t>μδ[mas/y]</t>
  </si>
  <si>
    <t>π[mas]</t>
  </si>
  <si>
    <t>v[km/s]</t>
  </si>
  <si>
    <t>1 - α And (Alpheratz)</t>
  </si>
  <si>
    <t>2 - β Cas (Caph)</t>
  </si>
  <si>
    <t>3 - γ Peg (Algenib)</t>
  </si>
  <si>
    <t>4 - α Phe (Ankaa)</t>
  </si>
  <si>
    <t>5 - α Cas (Schedar)</t>
  </si>
  <si>
    <t>6 - β Cet (Diphda)</t>
  </si>
  <si>
    <t>7 - γ Cas (Navi)</t>
  </si>
  <si>
    <t>8 - β And (Mirach)</t>
  </si>
  <si>
    <t>9 - α Eri (Achernar)</t>
  </si>
  <si>
    <t>10 - γ¹ And (Almak)</t>
  </si>
  <si>
    <t>12 - α Ari (Hamal)</t>
  </si>
  <si>
    <t>11 - α UMi (Polaris)</t>
  </si>
  <si>
    <t>13 - θ¹ Eri (Acamar)</t>
  </si>
  <si>
    <t>14 - α Cet (Menkar)</t>
  </si>
  <si>
    <t>15 - β Per (Algol)</t>
  </si>
  <si>
    <t>16 - α Per (Mirfak)</t>
  </si>
  <si>
    <t>17 - η Tau (Alcyone)</t>
  </si>
  <si>
    <t>18 - γ Eri (Zaurak)</t>
  </si>
  <si>
    <t>19 - α Tau (Aldebaran)</t>
  </si>
  <si>
    <t>20 - β Ori (Rigel)</t>
  </si>
  <si>
    <t>21 - α Aur (Capella)</t>
  </si>
  <si>
    <t>22 - γ Ori (Bellatrix)</t>
  </si>
  <si>
    <t>23 - β Tau (Elnath)</t>
  </si>
  <si>
    <t>24 - δ Ori (Mintaka)</t>
  </si>
  <si>
    <t>25 - ε Ori (Alnilam)</t>
  </si>
  <si>
    <t>26 - ζ Ori (Alnitak)</t>
  </si>
  <si>
    <t>27 - κ Ori (Saiph)</t>
  </si>
  <si>
    <t>28 - α Ori (Betelgeuse)</t>
  </si>
  <si>
    <t>29 - β Aur (Menkalinan)</t>
  </si>
  <si>
    <t>30 - β CMa (Mirzam)</t>
  </si>
  <si>
    <t>31 - α Car (Canopus)</t>
  </si>
  <si>
    <t>32 - γ Gem (Alhena)</t>
  </si>
  <si>
    <t>33 - α CMa (Sirius)</t>
  </si>
  <si>
    <t>34 - ε CMa (Adhara)</t>
  </si>
  <si>
    <t>35 - δ CMa (Wezen)</t>
  </si>
  <si>
    <t>36 - η CMa (Aludra)</t>
  </si>
  <si>
    <t>37 - α¹ Gem (Castor)</t>
  </si>
  <si>
    <t>38 - α CMi (Procyon)</t>
  </si>
  <si>
    <t>39 - β Gem (Pollux)</t>
  </si>
  <si>
    <t>40 - ζ Pup (Naos)</t>
  </si>
  <si>
    <t>41 - γ² Vel (Regor)</t>
  </si>
  <si>
    <t>42 - ε Car (Avior)</t>
  </si>
  <si>
    <t>43 - δ Velorum</t>
  </si>
  <si>
    <t>44 - ζ Hya (Hydrobius)</t>
  </si>
  <si>
    <t>45 - λ Vel (Suhail)</t>
  </si>
  <si>
    <t>46 - β Car (Miaplacidus)</t>
  </si>
  <si>
    <t>47 - ι Car (Aspidiske)</t>
  </si>
  <si>
    <t>48 - α Lyn (Elvashak)</t>
  </si>
  <si>
    <t>49 - α Hya (Alphard)</t>
  </si>
  <si>
    <t>50 - α Leo (Regulus)</t>
  </si>
  <si>
    <t>51 - μ Velorum</t>
  </si>
  <si>
    <t>52 - ν Hydrae</t>
  </si>
  <si>
    <t>53 - β UMa (Merak)</t>
  </si>
  <si>
    <t>54 - α UMa (Dubhe)</t>
  </si>
  <si>
    <t>55 - β Leo (Denebola)</t>
  </si>
  <si>
    <t>56 - γ Crv (Gienah)</t>
  </si>
  <si>
    <t>57 - α¹ Cru (Acrux)</t>
  </si>
  <si>
    <t>58 - γ Cru (Gacrux)</t>
  </si>
  <si>
    <t>59 - γ Cen (Muhlifain)</t>
  </si>
  <si>
    <t>60 - β Cru (Mimosa)</t>
  </si>
  <si>
    <t>61 - ε UMa (Alioth)</t>
  </si>
  <si>
    <t>62 - α² CVn (Cor Caroli)</t>
  </si>
  <si>
    <t>63 - ε Vir (Vindemiatrix)</t>
  </si>
  <si>
    <t>64 - ζ UMa (Mizar)</t>
  </si>
  <si>
    <t>65 - α Vir (Spica)</t>
  </si>
  <si>
    <t>66 - η UMa (Alkaid)</t>
  </si>
  <si>
    <t>67 - β Cen (Hadar)</t>
  </si>
  <si>
    <t>68 - θ Cen (Menkent)</t>
  </si>
  <si>
    <t>69 - α Boo (Arcturus)</t>
  </si>
  <si>
    <t>70 - α¹ Cen (Rigil Kent)</t>
  </si>
  <si>
    <t>71 - α² Lib (Zubenelgenubi)</t>
  </si>
  <si>
    <t>72 - β UMi (Kochab)</t>
  </si>
  <si>
    <t>73 - β Lib (Zubeneschamali)</t>
  </si>
  <si>
    <t>74 - α CrB (Alphecca)</t>
  </si>
  <si>
    <t>75 - α Ser (Unukalhai)</t>
  </si>
  <si>
    <t>76 - α Sco (Antares)</t>
  </si>
  <si>
    <t>77 - α TrA (Atria)</t>
  </si>
  <si>
    <t>78 - ε Scorpii</t>
  </si>
  <si>
    <t>79 - η Oph (Sabik)</t>
  </si>
  <si>
    <t>80 - α¹ Her (Rasalgethi)</t>
  </si>
  <si>
    <t>81 - λ Sco (Shaula)</t>
  </si>
  <si>
    <t>82 - α Oph (Rasalhague)</t>
  </si>
  <si>
    <t>83 - θ Sco (Sargas)</t>
  </si>
  <si>
    <t>84 - γ Dra (Eltanin)</t>
  </si>
  <si>
    <t>85 - ε Sgr (Kaus Australis)</t>
  </si>
  <si>
    <t>86 - α Lyr (Vega)</t>
  </si>
  <si>
    <t>87 - σ Sgr (Nunki)</t>
  </si>
  <si>
    <t>88 - α Aql (Altair)</t>
  </si>
  <si>
    <t>89 - γ Cyg (Sadr)</t>
  </si>
  <si>
    <t>90 - α Pav (Peacock)</t>
  </si>
  <si>
    <t>91 - α Cyg (Deneb)</t>
  </si>
  <si>
    <t>92 - α Cep (Alderamin)</t>
  </si>
  <si>
    <t>93 - ε Peg (Enif)</t>
  </si>
  <si>
    <t>94 - δ Cap (Deneb Algedi)</t>
  </si>
  <si>
    <t>95 - α Gru (Al'Nair)</t>
  </si>
  <si>
    <t>96 - β Gruis</t>
  </si>
  <si>
    <t>97 - α PsA (Fomalhaut)</t>
  </si>
  <si>
    <t>98 - β Peg (Scheat)</t>
  </si>
  <si>
    <t>99 - α Peg (Markab)</t>
  </si>
  <si>
    <t>FK5</t>
  </si>
  <si>
    <t xml:space="preserve"> I/149A</t>
  </si>
  <si>
    <t>Cat. FK5</t>
  </si>
  <si>
    <t>M</t>
  </si>
</sst>
</file>

<file path=xl/styles.xml><?xml version="1.0" encoding="utf-8"?>
<styleSheet xmlns="http://schemas.openxmlformats.org/spreadsheetml/2006/main">
  <numFmts count="1">
    <numFmt numFmtId="165" formatCode="0.000"/>
  </numFmts>
  <fonts count="6"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1"/>
      <color rgb="FF008000"/>
      <name val="Calibri"/>
      <family val="2"/>
    </font>
    <font>
      <sz val="11"/>
      <color rgb="FF000000"/>
      <name val="Calibri"/>
      <family val="2"/>
      <scheme val="minor"/>
    </font>
    <font>
      <i/>
      <sz val="11"/>
      <color rgb="FF000000"/>
      <name val="Calibri"/>
      <family val="2"/>
      <scheme val="minor"/>
    </font>
    <font>
      <b/>
      <i/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CFFCC"/>
        <bgColor rgb="FFCCFFFF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5">
    <xf numFmtId="0" fontId="0" fillId="0" borderId="0"/>
    <xf numFmtId="0" fontId="1" fillId="0" borderId="0"/>
    <xf numFmtId="0" fontId="2" fillId="2" borderId="0" applyBorder="0" applyProtection="0"/>
    <xf numFmtId="0" fontId="1" fillId="0" borderId="0"/>
    <xf numFmtId="0" fontId="1" fillId="0" borderId="0"/>
  </cellStyleXfs>
  <cellXfs count="15">
    <xf numFmtId="0" fontId="0" fillId="0" borderId="0" xfId="0"/>
    <xf numFmtId="0" fontId="1" fillId="0" borderId="0" xfId="1"/>
    <xf numFmtId="0" fontId="3" fillId="0" borderId="0" xfId="1" applyFont="1"/>
    <xf numFmtId="0" fontId="3" fillId="0" borderId="0" xfId="1" applyFont="1" applyFill="1"/>
    <xf numFmtId="0" fontId="5" fillId="0" borderId="0" xfId="1" applyFont="1"/>
    <xf numFmtId="0" fontId="3" fillId="4" borderId="0" xfId="1" applyFont="1" applyFill="1"/>
    <xf numFmtId="0" fontId="4" fillId="0" borderId="1" xfId="1" applyFont="1" applyBorder="1" applyAlignment="1">
      <alignment horizontal="center"/>
    </xf>
    <xf numFmtId="2" fontId="0" fillId="0" borderId="0" xfId="0" applyNumberFormat="1"/>
    <xf numFmtId="165" fontId="0" fillId="0" borderId="0" xfId="0" applyNumberFormat="1"/>
    <xf numFmtId="0" fontId="3" fillId="3" borderId="0" xfId="3" applyFont="1" applyFill="1"/>
    <xf numFmtId="0" fontId="1" fillId="0" borderId="0" xfId="4"/>
    <xf numFmtId="0" fontId="3" fillId="0" borderId="0" xfId="4" applyFont="1"/>
    <xf numFmtId="0" fontId="5" fillId="0" borderId="0" xfId="4" applyFont="1"/>
    <xf numFmtId="0" fontId="3" fillId="3" borderId="0" xfId="4" applyFont="1" applyFill="1"/>
    <xf numFmtId="0" fontId="4" fillId="0" borderId="1" xfId="4" applyFont="1" applyBorder="1" applyAlignment="1">
      <alignment horizontal="center"/>
    </xf>
  </cellXfs>
  <cellStyles count="5">
    <cellStyle name="Normal" xfId="0" builtinId="0"/>
    <cellStyle name="Normal 2" xfId="1"/>
    <cellStyle name="Normal 3" xfId="3"/>
    <cellStyle name="Normal 4" xfId="4"/>
    <cellStyle name="TableStyleLight1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102"/>
  <sheetViews>
    <sheetView tabSelected="1" workbookViewId="0">
      <selection activeCell="K4" sqref="K4:O102"/>
    </sheetView>
  </sheetViews>
  <sheetFormatPr baseColWidth="10" defaultRowHeight="15"/>
  <cols>
    <col min="1" max="1" width="22.5703125" customWidth="1"/>
    <col min="11" max="11" width="13.28515625" style="8" customWidth="1"/>
    <col min="12" max="12" width="11.42578125" style="8"/>
    <col min="13" max="14" width="11.42578125" style="7"/>
    <col min="15" max="15" width="11.42578125" style="8"/>
  </cols>
  <sheetData>
    <row r="1" spans="1:16">
      <c r="A1" s="4" t="s">
        <v>0</v>
      </c>
      <c r="B1" s="1"/>
      <c r="C1" s="1"/>
      <c r="D1" s="1"/>
      <c r="E1" s="1"/>
      <c r="F1" s="1"/>
      <c r="G1" s="1"/>
      <c r="H1" s="1"/>
      <c r="I1" s="1"/>
    </row>
    <row r="3" spans="1:16">
      <c r="A3" s="6" t="s">
        <v>1</v>
      </c>
      <c r="B3" s="6" t="s">
        <v>2</v>
      </c>
      <c r="C3" s="6" t="s">
        <v>3</v>
      </c>
      <c r="D3" s="6" t="s">
        <v>4</v>
      </c>
      <c r="E3" s="6" t="s">
        <v>5</v>
      </c>
      <c r="F3" s="6" t="s">
        <v>6</v>
      </c>
      <c r="G3" s="6" t="s">
        <v>7</v>
      </c>
      <c r="H3" s="6" t="s">
        <v>8</v>
      </c>
      <c r="I3" s="6" t="s">
        <v>9</v>
      </c>
    </row>
    <row r="4" spans="1:16">
      <c r="A4" s="3" t="s">
        <v>10</v>
      </c>
      <c r="B4" s="3">
        <v>677</v>
      </c>
      <c r="C4" s="5">
        <v>2.0699999999999998</v>
      </c>
      <c r="D4" s="5">
        <v>2.0965333333333334</v>
      </c>
      <c r="E4" s="5">
        <v>29.090828055555555</v>
      </c>
      <c r="F4" s="5">
        <v>135.68</v>
      </c>
      <c r="G4" s="5">
        <v>-162.94999999999999</v>
      </c>
      <c r="H4" s="5">
        <v>33.6</v>
      </c>
      <c r="I4" s="5"/>
      <c r="K4" s="8">
        <f>D4*240+L4*0.0875</f>
        <v>503.25857236459967</v>
      </c>
      <c r="L4" s="8">
        <f>F4/(150*COS(RADIANS(E4)))</f>
        <v>1.0351127382819891</v>
      </c>
      <c r="M4" s="7">
        <f>E4*3600+0.00875*G4</f>
        <v>104725.55518749999</v>
      </c>
      <c r="N4" s="7">
        <f>G4/10</f>
        <v>-16.294999999999998</v>
      </c>
      <c r="O4" s="8">
        <f>H4/1000</f>
        <v>3.3600000000000005E-2</v>
      </c>
      <c r="P4" s="9">
        <v>-11.7</v>
      </c>
    </row>
    <row r="5" spans="1:16">
      <c r="A5" s="3" t="s">
        <v>11</v>
      </c>
      <c r="B5" s="2">
        <v>746</v>
      </c>
      <c r="C5" s="5">
        <v>2.2799999999999998</v>
      </c>
      <c r="D5" s="5">
        <v>2.2920416666666665</v>
      </c>
      <c r="E5" s="5">
        <v>59.150218055555555</v>
      </c>
      <c r="F5" s="5">
        <v>523.39</v>
      </c>
      <c r="G5" s="5">
        <v>-180.42</v>
      </c>
      <c r="H5" s="5">
        <v>59.89</v>
      </c>
      <c r="I5" s="5"/>
      <c r="K5" s="8">
        <f t="shared" ref="K5:K68" si="0">D5*240+L5*0.0875</f>
        <v>550.68539272767225</v>
      </c>
      <c r="L5" s="8">
        <f t="shared" ref="L5:L68" si="1">F5/(150*COS(RADIANS(E5)))</f>
        <v>6.8044883162548926</v>
      </c>
      <c r="M5" s="7">
        <f>E5*3600+0.00875*G5</f>
        <v>212939.20632500001</v>
      </c>
      <c r="N5" s="7">
        <f t="shared" ref="N5:N68" si="2">G5/10</f>
        <v>-18.041999999999998</v>
      </c>
      <c r="O5" s="8">
        <f t="shared" ref="O5:O68" si="3">H5/1000</f>
        <v>5.9889999999999999E-2</v>
      </c>
      <c r="P5" s="9">
        <v>11.8</v>
      </c>
    </row>
    <row r="6" spans="1:16">
      <c r="A6" s="3" t="s">
        <v>12</v>
      </c>
      <c r="B6" s="2">
        <v>1067</v>
      </c>
      <c r="C6" s="5">
        <v>2.83</v>
      </c>
      <c r="D6" s="5">
        <v>3.3089583333333334</v>
      </c>
      <c r="E6" s="5">
        <v>15.183615833333333</v>
      </c>
      <c r="F6" s="5">
        <v>4.7</v>
      </c>
      <c r="G6" s="5">
        <v>-8.24</v>
      </c>
      <c r="H6" s="5">
        <v>9.7899999999999991</v>
      </c>
      <c r="I6" s="5"/>
      <c r="K6" s="8">
        <f t="shared" si="0"/>
        <v>794.15284083619576</v>
      </c>
      <c r="L6" s="8">
        <f t="shared" si="1"/>
        <v>3.2466699380749593E-2</v>
      </c>
      <c r="M6" s="7">
        <f t="shared" ref="M6:M69" si="4">E6*3600+0.00875*G6</f>
        <v>54660.944900000002</v>
      </c>
      <c r="N6" s="7">
        <f t="shared" si="2"/>
        <v>-0.82400000000000007</v>
      </c>
      <c r="O6" s="8">
        <f t="shared" si="3"/>
        <v>9.7899999999999984E-3</v>
      </c>
      <c r="P6" s="9">
        <v>4.0999999999999996</v>
      </c>
    </row>
    <row r="7" spans="1:16">
      <c r="A7" s="3" t="s">
        <v>13</v>
      </c>
      <c r="B7" s="2">
        <v>2081</v>
      </c>
      <c r="C7" s="5">
        <v>2.4</v>
      </c>
      <c r="D7" s="5">
        <v>6.5702791666666664</v>
      </c>
      <c r="E7" s="5">
        <v>-42.305121944444444</v>
      </c>
      <c r="F7" s="5">
        <v>232.76</v>
      </c>
      <c r="G7" s="5">
        <v>-353.64</v>
      </c>
      <c r="H7" s="5">
        <v>42.14</v>
      </c>
      <c r="I7" s="5"/>
      <c r="K7" s="8">
        <f t="shared" si="0"/>
        <v>1577.0505884314648</v>
      </c>
      <c r="L7" s="8">
        <f t="shared" si="1"/>
        <v>2.0981535024550824</v>
      </c>
      <c r="M7" s="7">
        <f t="shared" si="4"/>
        <v>-152301.53335000001</v>
      </c>
      <c r="N7" s="7">
        <f t="shared" si="2"/>
        <v>-35.363999999999997</v>
      </c>
      <c r="O7" s="8">
        <f t="shared" si="3"/>
        <v>4.2140000000000004E-2</v>
      </c>
      <c r="P7" s="9">
        <v>74.599999999999994</v>
      </c>
    </row>
    <row r="8" spans="1:16">
      <c r="A8" s="3" t="s">
        <v>14</v>
      </c>
      <c r="B8" s="2">
        <v>3179</v>
      </c>
      <c r="C8" s="5">
        <v>2.2400000000000002</v>
      </c>
      <c r="D8" s="5">
        <v>10.1266125</v>
      </c>
      <c r="E8" s="5">
        <v>56.53740916666667</v>
      </c>
      <c r="F8" s="5">
        <v>50.36</v>
      </c>
      <c r="G8" s="5">
        <v>-32.17</v>
      </c>
      <c r="H8" s="5">
        <v>14.27</v>
      </c>
      <c r="I8" s="5"/>
      <c r="K8" s="8">
        <f t="shared" si="0"/>
        <v>2430.44027724138</v>
      </c>
      <c r="L8" s="8">
        <f t="shared" si="1"/>
        <v>0.60888275862558161</v>
      </c>
      <c r="M8" s="7">
        <f t="shared" si="4"/>
        <v>203534.39151250001</v>
      </c>
      <c r="N8" s="7">
        <f t="shared" si="2"/>
        <v>-3.2170000000000001</v>
      </c>
      <c r="O8" s="8">
        <f t="shared" si="3"/>
        <v>1.427E-2</v>
      </c>
      <c r="P8" s="9">
        <v>-3.8</v>
      </c>
    </row>
    <row r="9" spans="1:16">
      <c r="A9" s="3" t="s">
        <v>15</v>
      </c>
      <c r="B9" s="2">
        <v>3419</v>
      </c>
      <c r="C9" s="5">
        <v>2.04</v>
      </c>
      <c r="D9" s="5">
        <v>10.896783333333333</v>
      </c>
      <c r="E9" s="5">
        <v>-17.986684166666667</v>
      </c>
      <c r="F9" s="5">
        <v>232.79</v>
      </c>
      <c r="G9" s="5">
        <v>32.71</v>
      </c>
      <c r="H9" s="5">
        <v>34.04</v>
      </c>
      <c r="I9" s="5"/>
      <c r="K9" s="8">
        <f t="shared" si="0"/>
        <v>2615.3707716592608</v>
      </c>
      <c r="L9" s="8">
        <f t="shared" si="1"/>
        <v>1.6316761058354587</v>
      </c>
      <c r="M9" s="7">
        <f t="shared" si="4"/>
        <v>-64751.776787499999</v>
      </c>
      <c r="N9" s="7">
        <f t="shared" si="2"/>
        <v>3.2709999999999999</v>
      </c>
      <c r="O9" s="8">
        <f t="shared" si="3"/>
        <v>3.4040000000000001E-2</v>
      </c>
      <c r="P9" s="9">
        <v>13.1</v>
      </c>
    </row>
    <row r="10" spans="1:16">
      <c r="A10" s="3" t="s">
        <v>16</v>
      </c>
      <c r="B10" s="2">
        <v>4427</v>
      </c>
      <c r="C10" s="5">
        <v>2.15</v>
      </c>
      <c r="D10" s="5">
        <v>14.177087500000001</v>
      </c>
      <c r="E10" s="5">
        <v>60.716749722222225</v>
      </c>
      <c r="F10" s="5">
        <v>25.65</v>
      </c>
      <c r="G10" s="5">
        <v>-3.82</v>
      </c>
      <c r="H10" s="5">
        <v>5.32</v>
      </c>
      <c r="I10" s="5"/>
      <c r="K10" s="8">
        <f t="shared" si="0"/>
        <v>3402.5315901840399</v>
      </c>
      <c r="L10" s="8">
        <f t="shared" si="1"/>
        <v>0.34960210331132718</v>
      </c>
      <c r="M10" s="7">
        <f t="shared" si="4"/>
        <v>218580.265575</v>
      </c>
      <c r="N10" s="7">
        <f t="shared" si="2"/>
        <v>-0.38200000000000001</v>
      </c>
      <c r="O10" s="8">
        <f t="shared" si="3"/>
        <v>5.3200000000000001E-3</v>
      </c>
      <c r="P10" s="9">
        <v>-6.8</v>
      </c>
    </row>
    <row r="11" spans="1:16">
      <c r="A11" s="3" t="s">
        <v>17</v>
      </c>
      <c r="B11" s="2">
        <v>5447</v>
      </c>
      <c r="C11" s="5">
        <v>2.0699999999999998</v>
      </c>
      <c r="D11" s="5">
        <v>17.432491666666664</v>
      </c>
      <c r="E11" s="5">
        <v>35.620830555555557</v>
      </c>
      <c r="F11" s="5">
        <v>175.59</v>
      </c>
      <c r="G11" s="5">
        <v>-112.23</v>
      </c>
      <c r="H11" s="5">
        <v>16.36</v>
      </c>
      <c r="I11" s="5"/>
      <c r="K11" s="8">
        <f t="shared" si="0"/>
        <v>4183.9240042776109</v>
      </c>
      <c r="L11" s="8">
        <f t="shared" si="1"/>
        <v>1.4400488869913957</v>
      </c>
      <c r="M11" s="7">
        <f t="shared" si="4"/>
        <v>128234.00798750001</v>
      </c>
      <c r="N11" s="7">
        <f t="shared" si="2"/>
        <v>-11.223000000000001</v>
      </c>
      <c r="O11" s="8">
        <f t="shared" si="3"/>
        <v>1.636E-2</v>
      </c>
      <c r="P11" s="9">
        <v>0.3</v>
      </c>
    </row>
    <row r="12" spans="1:16">
      <c r="A12" s="3" t="s">
        <v>18</v>
      </c>
      <c r="B12" s="2">
        <v>7588</v>
      </c>
      <c r="C12" s="5">
        <v>0.45</v>
      </c>
      <c r="D12" s="5">
        <v>24.428133333333335</v>
      </c>
      <c r="E12" s="5">
        <v>-57.236660000000001</v>
      </c>
      <c r="F12" s="5">
        <v>88.02</v>
      </c>
      <c r="G12" s="5">
        <v>-40.08</v>
      </c>
      <c r="H12" s="5">
        <v>22.68</v>
      </c>
      <c r="I12" s="5"/>
      <c r="K12" s="8">
        <f t="shared" si="0"/>
        <v>5862.846877716941</v>
      </c>
      <c r="L12" s="8">
        <f t="shared" si="1"/>
        <v>1.0843167650347609</v>
      </c>
      <c r="M12" s="7">
        <f t="shared" si="4"/>
        <v>-206052.32670000001</v>
      </c>
      <c r="N12" s="7">
        <f t="shared" si="2"/>
        <v>-4.008</v>
      </c>
      <c r="O12" s="8">
        <f t="shared" si="3"/>
        <v>2.2679999999999999E-2</v>
      </c>
      <c r="P12" s="9">
        <v>19</v>
      </c>
    </row>
    <row r="13" spans="1:16">
      <c r="A13" s="3" t="s">
        <v>19</v>
      </c>
      <c r="B13" s="2">
        <v>9640</v>
      </c>
      <c r="C13" s="5">
        <v>2.1</v>
      </c>
      <c r="D13" s="5">
        <v>30.974662499999997</v>
      </c>
      <c r="E13" s="5">
        <v>42.329848333333331</v>
      </c>
      <c r="F13" s="5">
        <v>43.08</v>
      </c>
      <c r="G13" s="5">
        <v>-50.85</v>
      </c>
      <c r="H13" s="5">
        <v>9.19</v>
      </c>
      <c r="I13" s="5"/>
      <c r="K13" s="8">
        <f t="shared" si="0"/>
        <v>7433.9529925154511</v>
      </c>
      <c r="L13" s="8">
        <f t="shared" si="1"/>
        <v>0.38848589088630553</v>
      </c>
      <c r="M13" s="7">
        <f t="shared" si="4"/>
        <v>152387.0090625</v>
      </c>
      <c r="N13" s="7">
        <f t="shared" si="2"/>
        <v>-5.085</v>
      </c>
      <c r="O13" s="8">
        <f t="shared" si="3"/>
        <v>9.1900000000000003E-3</v>
      </c>
      <c r="P13" s="9">
        <v>-11.7</v>
      </c>
    </row>
    <row r="14" spans="1:16">
      <c r="A14" s="3" t="s">
        <v>20</v>
      </c>
      <c r="B14" s="2">
        <v>9884</v>
      </c>
      <c r="C14" s="5">
        <v>2.0099999999999998</v>
      </c>
      <c r="D14" s="5">
        <v>31.792858333333331</v>
      </c>
      <c r="E14" s="5">
        <v>23.462777500000001</v>
      </c>
      <c r="F14" s="5">
        <v>190.73</v>
      </c>
      <c r="G14" s="5">
        <v>-145.77000000000001</v>
      </c>
      <c r="H14" s="5">
        <v>49.48</v>
      </c>
      <c r="I14" s="5"/>
      <c r="K14" s="8">
        <f t="shared" si="0"/>
        <v>7630.4072873331161</v>
      </c>
      <c r="L14" s="8">
        <f t="shared" si="1"/>
        <v>1.3861409499071178</v>
      </c>
      <c r="M14" s="7">
        <f t="shared" si="4"/>
        <v>84464.723512500015</v>
      </c>
      <c r="N14" s="7">
        <f t="shared" si="2"/>
        <v>-14.577000000000002</v>
      </c>
      <c r="O14" s="8">
        <f t="shared" si="3"/>
        <v>4.9479999999999996E-2</v>
      </c>
      <c r="P14" s="9">
        <v>-14.3</v>
      </c>
    </row>
    <row r="15" spans="1:16">
      <c r="A15" s="3" t="s">
        <v>21</v>
      </c>
      <c r="B15" s="2">
        <v>11767</v>
      </c>
      <c r="C15" s="5">
        <v>1.97</v>
      </c>
      <c r="D15" s="5">
        <v>37.946145833333333</v>
      </c>
      <c r="E15" s="5">
        <v>89.264138055555549</v>
      </c>
      <c r="F15" s="5">
        <v>44.22</v>
      </c>
      <c r="G15" s="5">
        <v>-11.74</v>
      </c>
      <c r="H15" s="5">
        <v>7.56</v>
      </c>
      <c r="I15" s="5"/>
      <c r="K15" s="8">
        <f t="shared" si="0"/>
        <v>9109.0835088992353</v>
      </c>
      <c r="L15" s="8">
        <f t="shared" si="1"/>
        <v>22.954387419825778</v>
      </c>
      <c r="M15" s="7">
        <f t="shared" si="4"/>
        <v>321350.79427499999</v>
      </c>
      <c r="N15" s="7">
        <f t="shared" si="2"/>
        <v>-1.1739999999999999</v>
      </c>
      <c r="O15" s="8">
        <f t="shared" si="3"/>
        <v>7.5599999999999999E-3</v>
      </c>
      <c r="P15" s="9">
        <v>-17.399999999999999</v>
      </c>
    </row>
    <row r="16" spans="1:16">
      <c r="A16" s="3" t="s">
        <v>22</v>
      </c>
      <c r="B16" s="3">
        <v>13847</v>
      </c>
      <c r="C16" s="5">
        <v>2.88</v>
      </c>
      <c r="D16" s="5">
        <v>44.565483333333333</v>
      </c>
      <c r="E16" s="5">
        <v>-40.304735000000001</v>
      </c>
      <c r="F16" s="5">
        <v>-53.53</v>
      </c>
      <c r="G16" s="5">
        <v>25.71</v>
      </c>
      <c r="H16" s="5">
        <v>20.22</v>
      </c>
      <c r="I16" s="5"/>
      <c r="K16" s="8">
        <f t="shared" si="0"/>
        <v>10695.675054256171</v>
      </c>
      <c r="L16" s="8">
        <f t="shared" si="1"/>
        <v>-0.46795135804899285</v>
      </c>
      <c r="M16" s="7">
        <f t="shared" si="4"/>
        <v>-145096.82103749999</v>
      </c>
      <c r="N16" s="7">
        <f t="shared" si="2"/>
        <v>2.5710000000000002</v>
      </c>
      <c r="O16" s="8">
        <f t="shared" si="3"/>
        <v>2.0219999999999998E-2</v>
      </c>
      <c r="P16" s="9">
        <v>11.9</v>
      </c>
    </row>
    <row r="17" spans="1:16">
      <c r="A17" s="3" t="s">
        <v>23</v>
      </c>
      <c r="B17" s="2">
        <v>14135</v>
      </c>
      <c r="C17" s="5">
        <v>2.54</v>
      </c>
      <c r="D17" s="5">
        <v>45.569912500000001</v>
      </c>
      <c r="E17" s="5">
        <v>4.0899252777777777</v>
      </c>
      <c r="F17" s="5">
        <v>-11.81</v>
      </c>
      <c r="G17" s="5">
        <v>-78.760000000000005</v>
      </c>
      <c r="H17" s="5">
        <v>14.82</v>
      </c>
      <c r="I17" s="5"/>
      <c r="K17" s="8">
        <f t="shared" si="0"/>
        <v>10936.772093244172</v>
      </c>
      <c r="L17" s="8">
        <f t="shared" si="1"/>
        <v>-7.8934352337429736E-2</v>
      </c>
      <c r="M17" s="7">
        <f t="shared" si="4"/>
        <v>14723.04185</v>
      </c>
      <c r="N17" s="7">
        <f t="shared" si="2"/>
        <v>-7.8760000000000003</v>
      </c>
      <c r="O17" s="8">
        <f t="shared" si="3"/>
        <v>1.482E-2</v>
      </c>
      <c r="P17" s="9">
        <v>-25.9</v>
      </c>
    </row>
    <row r="18" spans="1:16">
      <c r="A18" s="3" t="s">
        <v>24</v>
      </c>
      <c r="B18" s="2">
        <v>14576</v>
      </c>
      <c r="C18" s="5">
        <v>2.09</v>
      </c>
      <c r="D18" s="5">
        <v>47.042208333333335</v>
      </c>
      <c r="E18" s="5">
        <v>40.955651111111109</v>
      </c>
      <c r="F18" s="5">
        <v>2.39</v>
      </c>
      <c r="G18" s="5">
        <v>-1.44</v>
      </c>
      <c r="H18" s="5">
        <v>35.14</v>
      </c>
      <c r="I18" s="5"/>
      <c r="K18" s="8">
        <f t="shared" si="0"/>
        <v>11290.131846047376</v>
      </c>
      <c r="L18" s="8">
        <f t="shared" si="1"/>
        <v>2.109768427825429E-2</v>
      </c>
      <c r="M18" s="7">
        <f t="shared" si="4"/>
        <v>147440.3314</v>
      </c>
      <c r="N18" s="7">
        <f t="shared" si="2"/>
        <v>-0.14399999999999999</v>
      </c>
      <c r="O18" s="8">
        <f t="shared" si="3"/>
        <v>3.5139999999999998E-2</v>
      </c>
      <c r="P18" s="9">
        <v>4</v>
      </c>
    </row>
    <row r="19" spans="1:16">
      <c r="A19" s="3" t="s">
        <v>25</v>
      </c>
      <c r="B19" s="2">
        <v>15863</v>
      </c>
      <c r="C19" s="5">
        <v>1.79</v>
      </c>
      <c r="D19" s="5">
        <v>51.080620833333334</v>
      </c>
      <c r="E19" s="5">
        <v>49.861242777777775</v>
      </c>
      <c r="F19" s="5">
        <v>24.11</v>
      </c>
      <c r="G19" s="5">
        <v>-26.01</v>
      </c>
      <c r="H19" s="5">
        <v>5.51</v>
      </c>
      <c r="I19" s="5"/>
      <c r="K19" s="8">
        <f t="shared" si="0"/>
        <v>12259.370817055855</v>
      </c>
      <c r="L19" s="8">
        <f t="shared" si="1"/>
        <v>0.2493377811948379</v>
      </c>
      <c r="M19" s="7">
        <f t="shared" si="4"/>
        <v>179500.24641249998</v>
      </c>
      <c r="N19" s="7">
        <f t="shared" si="2"/>
        <v>-2.601</v>
      </c>
      <c r="O19" s="8">
        <f t="shared" si="3"/>
        <v>5.5100000000000001E-3</v>
      </c>
      <c r="P19" s="9">
        <v>-2.4</v>
      </c>
    </row>
    <row r="20" spans="1:16">
      <c r="A20" s="3" t="s">
        <v>26</v>
      </c>
      <c r="B20" s="2">
        <v>17702</v>
      </c>
      <c r="C20" s="5">
        <v>2.85</v>
      </c>
      <c r="D20" s="5">
        <v>56.871099999999998</v>
      </c>
      <c r="E20" s="5">
        <v>24.105241944444444</v>
      </c>
      <c r="F20" s="5">
        <v>19.350000000000001</v>
      </c>
      <c r="G20" s="5">
        <v>-43.11</v>
      </c>
      <c r="H20" s="5">
        <v>8.8699999999999992</v>
      </c>
      <c r="I20" s="5"/>
      <c r="K20" s="8">
        <f t="shared" si="0"/>
        <v>13649.076365840687</v>
      </c>
      <c r="L20" s="8">
        <f t="shared" si="1"/>
        <v>0.14132389355088776</v>
      </c>
      <c r="M20" s="7">
        <f t="shared" si="4"/>
        <v>86778.493787500003</v>
      </c>
      <c r="N20" s="7">
        <f t="shared" si="2"/>
        <v>-4.3109999999999999</v>
      </c>
      <c r="O20" s="8">
        <f t="shared" si="3"/>
        <v>8.8699999999999994E-3</v>
      </c>
      <c r="P20" s="9">
        <v>10.1</v>
      </c>
    </row>
    <row r="21" spans="1:16">
      <c r="A21" s="3" t="s">
        <v>27</v>
      </c>
      <c r="B21" s="2">
        <v>18543</v>
      </c>
      <c r="C21" s="5">
        <v>2.97</v>
      </c>
      <c r="D21" s="5">
        <v>59.507208333333331</v>
      </c>
      <c r="E21" s="5">
        <v>-13.508244722222223</v>
      </c>
      <c r="F21" s="5">
        <v>60.51</v>
      </c>
      <c r="G21" s="5">
        <v>-111.34</v>
      </c>
      <c r="H21" s="5">
        <v>14.75</v>
      </c>
      <c r="I21" s="5"/>
      <c r="K21" s="8">
        <f t="shared" si="0"/>
        <v>14281.766301739781</v>
      </c>
      <c r="L21" s="8">
        <f t="shared" si="1"/>
        <v>0.41487702607061666</v>
      </c>
      <c r="M21" s="7">
        <f t="shared" si="4"/>
        <v>-48630.655225000002</v>
      </c>
      <c r="N21" s="7">
        <f t="shared" si="2"/>
        <v>-11.134</v>
      </c>
      <c r="O21" s="8">
        <f t="shared" si="3"/>
        <v>1.4749999999999999E-2</v>
      </c>
      <c r="P21" s="9">
        <v>61.7</v>
      </c>
    </row>
    <row r="22" spans="1:16">
      <c r="A22" s="3" t="s">
        <v>28</v>
      </c>
      <c r="B22" s="2">
        <v>21421</v>
      </c>
      <c r="C22" s="5">
        <v>0.87</v>
      </c>
      <c r="D22" s="5">
        <v>68.97999999999999</v>
      </c>
      <c r="E22" s="5">
        <v>16.509761666666666</v>
      </c>
      <c r="F22" s="5">
        <v>62.78</v>
      </c>
      <c r="G22" s="5">
        <v>-189.36</v>
      </c>
      <c r="H22" s="5">
        <v>50.09</v>
      </c>
      <c r="I22" s="5"/>
      <c r="K22" s="8">
        <f t="shared" si="0"/>
        <v>16555.238196455641</v>
      </c>
      <c r="L22" s="8">
        <f t="shared" si="1"/>
        <v>0.43653092162307028</v>
      </c>
      <c r="M22" s="7">
        <f t="shared" si="4"/>
        <v>59433.485099999998</v>
      </c>
      <c r="N22" s="7">
        <f t="shared" si="2"/>
        <v>-18.936</v>
      </c>
      <c r="O22" s="8">
        <f t="shared" si="3"/>
        <v>5.0090000000000003E-2</v>
      </c>
      <c r="P22" s="9">
        <v>54.1</v>
      </c>
    </row>
    <row r="23" spans="1:16">
      <c r="A23" s="3" t="s">
        <v>29</v>
      </c>
      <c r="B23" s="2">
        <v>24436</v>
      </c>
      <c r="C23" s="5">
        <v>0.18</v>
      </c>
      <c r="D23" s="5">
        <v>78.634462499999998</v>
      </c>
      <c r="E23" s="5">
        <v>-8.2016391666666664</v>
      </c>
      <c r="F23" s="5">
        <v>1.87</v>
      </c>
      <c r="G23" s="5">
        <v>-0.56000000000000005</v>
      </c>
      <c r="H23" s="5">
        <v>4.22</v>
      </c>
      <c r="I23" s="5"/>
      <c r="K23" s="8">
        <f t="shared" si="0"/>
        <v>18872.272102105504</v>
      </c>
      <c r="L23" s="8">
        <f t="shared" si="1"/>
        <v>1.25954914633727E-2</v>
      </c>
      <c r="M23" s="7">
        <f t="shared" si="4"/>
        <v>-29525.905899999998</v>
      </c>
      <c r="N23" s="7">
        <f t="shared" si="2"/>
        <v>-5.6000000000000008E-2</v>
      </c>
      <c r="O23" s="8">
        <f t="shared" si="3"/>
        <v>4.2199999999999998E-3</v>
      </c>
      <c r="P23" s="9">
        <v>20.7</v>
      </c>
    </row>
    <row r="24" spans="1:16">
      <c r="A24" s="3" t="s">
        <v>30</v>
      </c>
      <c r="B24" s="2">
        <v>24608</v>
      </c>
      <c r="C24" s="5">
        <v>0.08</v>
      </c>
      <c r="D24" s="5">
        <v>79.172066666666666</v>
      </c>
      <c r="E24" s="5">
        <v>45.999029166666666</v>
      </c>
      <c r="F24" s="5">
        <v>75.52</v>
      </c>
      <c r="G24" s="5">
        <v>-427.13</v>
      </c>
      <c r="H24" s="5">
        <v>77.290000000000006</v>
      </c>
      <c r="I24" s="5"/>
      <c r="K24" s="8">
        <f t="shared" si="0"/>
        <v>19001.359416151383</v>
      </c>
      <c r="L24" s="8">
        <f t="shared" si="1"/>
        <v>0.72475601582123672</v>
      </c>
      <c r="M24" s="7">
        <f t="shared" si="4"/>
        <v>165592.7676125</v>
      </c>
      <c r="N24" s="7">
        <f t="shared" si="2"/>
        <v>-42.713000000000001</v>
      </c>
      <c r="O24" s="8">
        <f t="shared" si="3"/>
        <v>7.7290000000000011E-2</v>
      </c>
      <c r="P24" s="9">
        <v>30.2</v>
      </c>
    </row>
    <row r="25" spans="1:16">
      <c r="A25" s="3" t="s">
        <v>31</v>
      </c>
      <c r="B25" s="2">
        <v>25336</v>
      </c>
      <c r="C25" s="5">
        <v>1.64</v>
      </c>
      <c r="D25" s="5">
        <v>81.282783333333327</v>
      </c>
      <c r="E25" s="5">
        <v>6.3497344444444446</v>
      </c>
      <c r="F25" s="5">
        <v>-8.75</v>
      </c>
      <c r="G25" s="5">
        <v>-13.28</v>
      </c>
      <c r="H25" s="5">
        <v>13.42</v>
      </c>
      <c r="I25" s="5"/>
      <c r="K25" s="8">
        <f t="shared" si="0"/>
        <v>19507.862864327668</v>
      </c>
      <c r="L25" s="8">
        <f t="shared" si="1"/>
        <v>-5.8693398058354378E-2</v>
      </c>
      <c r="M25" s="7">
        <f t="shared" si="4"/>
        <v>22858.927800000001</v>
      </c>
      <c r="N25" s="7">
        <f t="shared" si="2"/>
        <v>-1.3279999999999998</v>
      </c>
      <c r="O25" s="8">
        <f t="shared" si="3"/>
        <v>1.342E-2</v>
      </c>
      <c r="P25" s="9">
        <v>18.2</v>
      </c>
    </row>
    <row r="26" spans="1:16">
      <c r="A26" s="3" t="s">
        <v>32</v>
      </c>
      <c r="B26" s="2">
        <v>25428</v>
      </c>
      <c r="C26" s="5">
        <v>1.65</v>
      </c>
      <c r="D26" s="5">
        <v>81.572908333333331</v>
      </c>
      <c r="E26" s="5">
        <v>28.607873333333334</v>
      </c>
      <c r="F26" s="5">
        <v>23.28</v>
      </c>
      <c r="G26" s="5">
        <v>-174.22</v>
      </c>
      <c r="H26" s="5">
        <v>24.89</v>
      </c>
      <c r="I26" s="5"/>
      <c r="K26" s="8">
        <f t="shared" si="0"/>
        <v>19577.513468429363</v>
      </c>
      <c r="L26" s="8">
        <f t="shared" si="1"/>
        <v>0.17678204986170998</v>
      </c>
      <c r="M26" s="7">
        <f t="shared" si="4"/>
        <v>102986.819575</v>
      </c>
      <c r="N26" s="7">
        <f t="shared" si="2"/>
        <v>-17.422000000000001</v>
      </c>
      <c r="O26" s="8">
        <f t="shared" si="3"/>
        <v>2.4889999999999999E-2</v>
      </c>
      <c r="P26" s="9">
        <v>8</v>
      </c>
    </row>
    <row r="27" spans="1:16">
      <c r="A27" s="3" t="s">
        <v>33</v>
      </c>
      <c r="B27" s="2">
        <v>25930</v>
      </c>
      <c r="C27" s="5">
        <v>2.25</v>
      </c>
      <c r="D27" s="5">
        <v>83.001666666666665</v>
      </c>
      <c r="E27" s="5">
        <v>-0.29909333333333332</v>
      </c>
      <c r="F27" s="5">
        <v>1.67</v>
      </c>
      <c r="G27" s="5">
        <v>0.56000000000000005</v>
      </c>
      <c r="H27" s="5">
        <v>3.56</v>
      </c>
      <c r="I27" s="5"/>
      <c r="K27" s="8">
        <f t="shared" si="0"/>
        <v>19920.400974179942</v>
      </c>
      <c r="L27" s="8">
        <f t="shared" si="1"/>
        <v>1.1133485027314175E-2</v>
      </c>
      <c r="M27" s="7">
        <f t="shared" si="4"/>
        <v>-1076.7311</v>
      </c>
      <c r="N27" s="7">
        <f t="shared" si="2"/>
        <v>5.6000000000000008E-2</v>
      </c>
      <c r="O27" s="8">
        <f t="shared" si="3"/>
        <v>3.5600000000000002E-3</v>
      </c>
      <c r="P27" s="9">
        <v>16</v>
      </c>
    </row>
    <row r="28" spans="1:16">
      <c r="A28" s="3" t="s">
        <v>34</v>
      </c>
      <c r="B28" s="2">
        <v>26311</v>
      </c>
      <c r="C28" s="5">
        <v>1.69</v>
      </c>
      <c r="D28" s="5">
        <v>84.053387499999999</v>
      </c>
      <c r="E28" s="5">
        <v>-1.2019172222222223</v>
      </c>
      <c r="F28" s="5">
        <v>1.49</v>
      </c>
      <c r="G28" s="5">
        <v>-1.06</v>
      </c>
      <c r="H28" s="5">
        <v>2.4300000000000002</v>
      </c>
      <c r="I28" s="5"/>
      <c r="K28" s="8">
        <f t="shared" si="0"/>
        <v>20172.813869357939</v>
      </c>
      <c r="L28" s="8">
        <f t="shared" si="1"/>
        <v>9.9355193250012953E-3</v>
      </c>
      <c r="M28" s="7">
        <f t="shared" si="4"/>
        <v>-4326.9112750000004</v>
      </c>
      <c r="N28" s="7">
        <f t="shared" si="2"/>
        <v>-0.10600000000000001</v>
      </c>
      <c r="O28" s="8">
        <f t="shared" si="3"/>
        <v>2.4300000000000003E-3</v>
      </c>
      <c r="P28" s="9">
        <v>26.1</v>
      </c>
    </row>
    <row r="29" spans="1:16">
      <c r="A29" s="3" t="s">
        <v>35</v>
      </c>
      <c r="B29" s="2">
        <v>26727</v>
      </c>
      <c r="C29" s="5">
        <v>1.74</v>
      </c>
      <c r="D29" s="5">
        <v>85.189687500000005</v>
      </c>
      <c r="E29" s="5">
        <v>-1.9425783333333333</v>
      </c>
      <c r="F29" s="5">
        <v>3.99</v>
      </c>
      <c r="G29" s="5">
        <v>2.54</v>
      </c>
      <c r="H29" s="5">
        <v>3.99</v>
      </c>
      <c r="I29" s="5"/>
      <c r="K29" s="8">
        <f t="shared" si="0"/>
        <v>20445.527328838383</v>
      </c>
      <c r="L29" s="8">
        <f t="shared" si="1"/>
        <v>2.6615295775999203E-2</v>
      </c>
      <c r="M29" s="7">
        <f t="shared" si="4"/>
        <v>-6993.2597750000004</v>
      </c>
      <c r="N29" s="7">
        <f t="shared" si="2"/>
        <v>0.254</v>
      </c>
      <c r="O29" s="8">
        <f t="shared" si="3"/>
        <v>3.9900000000000005E-3</v>
      </c>
      <c r="P29" s="9"/>
    </row>
    <row r="30" spans="1:16">
      <c r="A30" s="3" t="s">
        <v>36</v>
      </c>
      <c r="B30" s="2">
        <v>27366</v>
      </c>
      <c r="C30" s="5">
        <v>2.0699999999999998</v>
      </c>
      <c r="D30" s="5">
        <v>86.939116666666678</v>
      </c>
      <c r="E30" s="5">
        <v>-9.6696019444444445</v>
      </c>
      <c r="F30" s="5">
        <v>1.55</v>
      </c>
      <c r="G30" s="5">
        <v>-1.2</v>
      </c>
      <c r="H30" s="5">
        <v>4.5199999999999996</v>
      </c>
      <c r="I30" s="5"/>
      <c r="K30" s="8">
        <f t="shared" si="0"/>
        <v>20865.38891719755</v>
      </c>
      <c r="L30" s="8">
        <f t="shared" si="1"/>
        <v>1.0482257684954454E-2</v>
      </c>
      <c r="M30" s="7">
        <f t="shared" si="4"/>
        <v>-34810.577499999999</v>
      </c>
      <c r="N30" s="7">
        <f t="shared" si="2"/>
        <v>-0.12</v>
      </c>
      <c r="O30" s="8">
        <f t="shared" si="3"/>
        <v>4.5199999999999997E-3</v>
      </c>
      <c r="P30" s="9">
        <v>20.6</v>
      </c>
    </row>
    <row r="31" spans="1:16">
      <c r="A31" s="3" t="s">
        <v>37</v>
      </c>
      <c r="B31" s="2">
        <v>27989</v>
      </c>
      <c r="C31" s="5">
        <v>0.45</v>
      </c>
      <c r="D31" s="5">
        <v>88.792870833333339</v>
      </c>
      <c r="E31" s="5">
        <v>7.4070363888888888</v>
      </c>
      <c r="F31" s="5">
        <v>27.33</v>
      </c>
      <c r="G31" s="5">
        <v>10.86</v>
      </c>
      <c r="H31" s="5">
        <v>7.63</v>
      </c>
      <c r="I31" s="5"/>
      <c r="K31" s="8">
        <f t="shared" si="0"/>
        <v>21310.305076654251</v>
      </c>
      <c r="L31" s="8">
        <f t="shared" si="1"/>
        <v>0.18373319142552927</v>
      </c>
      <c r="M31" s="7">
        <f t="shared" si="4"/>
        <v>26665.426024999997</v>
      </c>
      <c r="N31" s="7">
        <f t="shared" si="2"/>
        <v>1.0859999999999999</v>
      </c>
      <c r="O31" s="8">
        <f t="shared" si="3"/>
        <v>7.6299999999999996E-3</v>
      </c>
      <c r="P31" s="9">
        <v>21</v>
      </c>
    </row>
    <row r="32" spans="1:16">
      <c r="A32" s="3" t="s">
        <v>38</v>
      </c>
      <c r="B32" s="2">
        <v>28360</v>
      </c>
      <c r="C32" s="5">
        <v>1.9</v>
      </c>
      <c r="D32" s="5">
        <v>89.88237083333334</v>
      </c>
      <c r="E32" s="5">
        <v>44.947434999999999</v>
      </c>
      <c r="F32" s="5">
        <v>-56.41</v>
      </c>
      <c r="G32" s="5">
        <v>-0.88</v>
      </c>
      <c r="H32" s="5">
        <v>39.72</v>
      </c>
      <c r="I32" s="5"/>
      <c r="K32" s="8">
        <f t="shared" si="0"/>
        <v>21571.722506759048</v>
      </c>
      <c r="L32" s="8">
        <f t="shared" si="1"/>
        <v>-0.53135132515957728</v>
      </c>
      <c r="M32" s="7">
        <f t="shared" si="4"/>
        <v>161810.75830000002</v>
      </c>
      <c r="N32" s="7">
        <f t="shared" si="2"/>
        <v>-8.7999999999999995E-2</v>
      </c>
      <c r="O32" s="8">
        <f t="shared" si="3"/>
        <v>3.9719999999999998E-2</v>
      </c>
      <c r="P32" s="9">
        <v>-18.2</v>
      </c>
    </row>
    <row r="33" spans="1:16">
      <c r="A33" s="3" t="s">
        <v>39</v>
      </c>
      <c r="B33" s="2">
        <v>30324</v>
      </c>
      <c r="C33" s="5">
        <v>1.98</v>
      </c>
      <c r="D33" s="5">
        <v>95.674945833333339</v>
      </c>
      <c r="E33" s="5">
        <v>-17.955916666666667</v>
      </c>
      <c r="F33" s="5">
        <v>-3.45</v>
      </c>
      <c r="G33" s="5">
        <v>-0.47</v>
      </c>
      <c r="H33" s="5">
        <v>6.53</v>
      </c>
      <c r="I33" s="5"/>
      <c r="K33" s="8">
        <f t="shared" si="0"/>
        <v>22961.984884460519</v>
      </c>
      <c r="L33" s="8">
        <f t="shared" si="1"/>
        <v>-2.4177594085291819E-2</v>
      </c>
      <c r="M33" s="7">
        <f t="shared" si="4"/>
        <v>-64641.304112500002</v>
      </c>
      <c r="N33" s="7">
        <f t="shared" si="2"/>
        <v>-4.7E-2</v>
      </c>
      <c r="O33" s="8">
        <f t="shared" si="3"/>
        <v>6.5300000000000002E-3</v>
      </c>
      <c r="P33" s="9">
        <v>33.700000000000003</v>
      </c>
    </row>
    <row r="34" spans="1:16">
      <c r="A34" s="3" t="s">
        <v>40</v>
      </c>
      <c r="B34" s="2">
        <v>30438</v>
      </c>
      <c r="C34" s="5">
        <v>-0.62</v>
      </c>
      <c r="D34" s="5">
        <v>95.987879166666673</v>
      </c>
      <c r="E34" s="5">
        <v>-52.695718055555552</v>
      </c>
      <c r="F34" s="5">
        <v>19.989999999999998</v>
      </c>
      <c r="G34" s="5">
        <v>23.67</v>
      </c>
      <c r="H34" s="5">
        <v>10.43</v>
      </c>
      <c r="I34" s="5"/>
      <c r="K34" s="8">
        <f t="shared" si="0"/>
        <v>23037.11024078005</v>
      </c>
      <c r="L34" s="8">
        <f t="shared" si="1"/>
        <v>0.21989462913509167</v>
      </c>
      <c r="M34" s="7">
        <f t="shared" si="4"/>
        <v>-189704.37788749998</v>
      </c>
      <c r="N34" s="7">
        <f t="shared" si="2"/>
        <v>2.367</v>
      </c>
      <c r="O34" s="8">
        <f t="shared" si="3"/>
        <v>1.043E-2</v>
      </c>
      <c r="P34" s="9">
        <v>20.5</v>
      </c>
    </row>
    <row r="35" spans="1:16">
      <c r="A35" s="3" t="s">
        <v>41</v>
      </c>
      <c r="B35" s="2">
        <v>31681</v>
      </c>
      <c r="C35" s="5">
        <v>1.93</v>
      </c>
      <c r="D35" s="5">
        <v>99.427925000000002</v>
      </c>
      <c r="E35" s="5">
        <v>16.399414722222222</v>
      </c>
      <c r="F35" s="5">
        <v>-2.04</v>
      </c>
      <c r="G35" s="5">
        <v>-66.92</v>
      </c>
      <c r="H35" s="5">
        <v>31.12</v>
      </c>
      <c r="I35" s="5"/>
      <c r="K35" s="8">
        <f t="shared" si="0"/>
        <v>23862.700759533946</v>
      </c>
      <c r="L35" s="8">
        <f t="shared" si="1"/>
        <v>-1.4176754924996416E-2</v>
      </c>
      <c r="M35" s="7">
        <f t="shared" si="4"/>
        <v>59037.307449999993</v>
      </c>
      <c r="N35" s="7">
        <f t="shared" si="2"/>
        <v>-6.6920000000000002</v>
      </c>
      <c r="O35" s="8">
        <f t="shared" si="3"/>
        <v>3.1120000000000002E-2</v>
      </c>
      <c r="P35" s="9">
        <v>-12.5</v>
      </c>
    </row>
    <row r="36" spans="1:16">
      <c r="A36" s="3" t="s">
        <v>42</v>
      </c>
      <c r="B36" s="2">
        <v>32349</v>
      </c>
      <c r="C36" s="5">
        <v>-1.44</v>
      </c>
      <c r="D36" s="5">
        <v>101.28854166666666</v>
      </c>
      <c r="E36" s="5">
        <v>-16.713143055555555</v>
      </c>
      <c r="F36" s="5">
        <v>-546.01</v>
      </c>
      <c r="G36" s="5">
        <v>-1223.08</v>
      </c>
      <c r="H36" s="5">
        <v>379.21</v>
      </c>
      <c r="I36" s="5"/>
      <c r="K36" s="8">
        <f t="shared" si="0"/>
        <v>24308.917445936419</v>
      </c>
      <c r="L36" s="8">
        <f t="shared" si="1"/>
        <v>-3.8006178694991402</v>
      </c>
      <c r="M36" s="7">
        <f t="shared" si="4"/>
        <v>-60178.016950000005</v>
      </c>
      <c r="N36" s="7">
        <f t="shared" si="2"/>
        <v>-122.30799999999999</v>
      </c>
      <c r="O36" s="8">
        <f t="shared" si="3"/>
        <v>0.37920999999999999</v>
      </c>
      <c r="P36" s="9">
        <v>-7.6</v>
      </c>
    </row>
    <row r="37" spans="1:16">
      <c r="A37" s="3" t="s">
        <v>43</v>
      </c>
      <c r="B37" s="2">
        <v>33579</v>
      </c>
      <c r="C37" s="5">
        <v>1.5</v>
      </c>
      <c r="D37" s="5">
        <v>104.65644583333332</v>
      </c>
      <c r="E37" s="5">
        <v>-28.972089444444446</v>
      </c>
      <c r="F37" s="5">
        <v>2.63</v>
      </c>
      <c r="G37" s="5">
        <v>2.29</v>
      </c>
      <c r="H37" s="5">
        <v>7.57</v>
      </c>
      <c r="I37" s="5"/>
      <c r="K37" s="8">
        <f t="shared" si="0"/>
        <v>25117.548753622392</v>
      </c>
      <c r="L37" s="8">
        <f t="shared" si="1"/>
        <v>2.0041398766140806E-2</v>
      </c>
      <c r="M37" s="7">
        <f t="shared" si="4"/>
        <v>-104299.50196250001</v>
      </c>
      <c r="N37" s="7">
        <f t="shared" si="2"/>
        <v>0.22900000000000001</v>
      </c>
      <c r="O37" s="8">
        <f t="shared" si="3"/>
        <v>7.5700000000000003E-3</v>
      </c>
      <c r="P37" s="9">
        <v>27.4</v>
      </c>
    </row>
    <row r="38" spans="1:16">
      <c r="A38" s="3" t="s">
        <v>44</v>
      </c>
      <c r="B38" s="2">
        <v>34444</v>
      </c>
      <c r="C38" s="5">
        <v>1.83</v>
      </c>
      <c r="D38" s="5">
        <v>107.09785833333333</v>
      </c>
      <c r="E38" s="5">
        <v>-26.393207777777778</v>
      </c>
      <c r="F38" s="5">
        <v>-2.75</v>
      </c>
      <c r="G38" s="5">
        <v>3.33</v>
      </c>
      <c r="H38" s="5">
        <v>1.82</v>
      </c>
      <c r="I38" s="5"/>
      <c r="K38" s="8">
        <f t="shared" si="0"/>
        <v>25703.484209164653</v>
      </c>
      <c r="L38" s="8">
        <f t="shared" si="1"/>
        <v>-2.0466689705950253E-2</v>
      </c>
      <c r="M38" s="7">
        <f t="shared" si="4"/>
        <v>-95015.518862500016</v>
      </c>
      <c r="N38" s="7">
        <f t="shared" si="2"/>
        <v>0.33300000000000002</v>
      </c>
      <c r="O38" s="8">
        <f t="shared" si="3"/>
        <v>1.82E-3</v>
      </c>
      <c r="P38" s="9">
        <v>34.299999999999997</v>
      </c>
    </row>
    <row r="39" spans="1:16">
      <c r="A39" s="3" t="s">
        <v>45</v>
      </c>
      <c r="B39" s="2">
        <v>35904</v>
      </c>
      <c r="C39" s="5">
        <v>2.4500000000000002</v>
      </c>
      <c r="D39" s="5">
        <v>111.02377083333333</v>
      </c>
      <c r="E39" s="5">
        <v>-29.303119722222224</v>
      </c>
      <c r="F39" s="5">
        <v>-3.76</v>
      </c>
      <c r="G39" s="5">
        <v>6.66</v>
      </c>
      <c r="H39" s="5">
        <v>1.02</v>
      </c>
      <c r="I39" s="5"/>
      <c r="K39" s="8">
        <f t="shared" si="0"/>
        <v>26645.702484832422</v>
      </c>
      <c r="L39" s="8">
        <f t="shared" si="1"/>
        <v>-2.8744772286448089E-2</v>
      </c>
      <c r="M39" s="7">
        <f t="shared" si="4"/>
        <v>-105491.172725</v>
      </c>
      <c r="N39" s="7">
        <f t="shared" si="2"/>
        <v>0.66600000000000004</v>
      </c>
      <c r="O39" s="8">
        <f t="shared" si="3"/>
        <v>1.0200000000000001E-3</v>
      </c>
      <c r="P39" s="9">
        <v>41.1</v>
      </c>
    </row>
    <row r="40" spans="1:16">
      <c r="A40" s="3" t="s">
        <v>46</v>
      </c>
      <c r="B40" s="2">
        <v>36850</v>
      </c>
      <c r="C40" s="5">
        <v>1.58</v>
      </c>
      <c r="D40" s="5">
        <v>113.65002083333333</v>
      </c>
      <c r="E40" s="5">
        <v>31.888636388888887</v>
      </c>
      <c r="F40" s="5">
        <v>-206.33</v>
      </c>
      <c r="G40" s="5">
        <v>-148.18</v>
      </c>
      <c r="H40" s="5">
        <v>63.27</v>
      </c>
      <c r="I40" s="5"/>
      <c r="K40" s="8">
        <f t="shared" si="0"/>
        <v>27275.863246966117</v>
      </c>
      <c r="L40" s="8">
        <f t="shared" si="1"/>
        <v>-1.62003467292207</v>
      </c>
      <c r="M40" s="7">
        <f t="shared" si="4"/>
        <v>114797.794425</v>
      </c>
      <c r="N40" s="7">
        <f t="shared" si="2"/>
        <v>-14.818000000000001</v>
      </c>
      <c r="O40" s="8">
        <f t="shared" si="3"/>
        <v>6.3270000000000007E-2</v>
      </c>
      <c r="P40" s="9">
        <v>6</v>
      </c>
    </row>
    <row r="41" spans="1:16">
      <c r="A41" s="3" t="s">
        <v>47</v>
      </c>
      <c r="B41" s="2">
        <v>37279</v>
      </c>
      <c r="C41" s="5">
        <v>0.4</v>
      </c>
      <c r="D41" s="5">
        <v>114.82724166666667</v>
      </c>
      <c r="E41" s="5">
        <v>5.2275077777777774</v>
      </c>
      <c r="F41" s="5">
        <v>-716.57</v>
      </c>
      <c r="G41" s="5">
        <v>-1034.58</v>
      </c>
      <c r="H41" s="5">
        <v>285.93</v>
      </c>
      <c r="I41" s="5"/>
      <c r="K41" s="8">
        <f t="shared" si="0"/>
        <v>27558.118255017842</v>
      </c>
      <c r="L41" s="8">
        <f t="shared" si="1"/>
        <v>-4.7970855103862071</v>
      </c>
      <c r="M41" s="7">
        <f t="shared" si="4"/>
        <v>18809.975424999997</v>
      </c>
      <c r="N41" s="7">
        <f t="shared" si="2"/>
        <v>-103.458</v>
      </c>
      <c r="O41" s="8">
        <f t="shared" si="3"/>
        <v>0.28593000000000002</v>
      </c>
      <c r="P41" s="9">
        <v>-3.2</v>
      </c>
    </row>
    <row r="42" spans="1:16">
      <c r="A42" s="3" t="s">
        <v>48</v>
      </c>
      <c r="B42" s="2">
        <v>37826</v>
      </c>
      <c r="C42" s="5">
        <v>1.1599999999999999</v>
      </c>
      <c r="D42" s="5">
        <v>116.33068333333334</v>
      </c>
      <c r="E42" s="5">
        <v>28.026310277777778</v>
      </c>
      <c r="F42" s="5">
        <v>-625.69000000000005</v>
      </c>
      <c r="G42" s="5">
        <v>-45.95</v>
      </c>
      <c r="H42" s="5">
        <v>96.74</v>
      </c>
      <c r="I42" s="5"/>
      <c r="K42" s="8">
        <f t="shared" si="0"/>
        <v>27918.950526978464</v>
      </c>
      <c r="L42" s="8">
        <f t="shared" si="1"/>
        <v>-4.7254059604320577</v>
      </c>
      <c r="M42" s="7">
        <f t="shared" si="4"/>
        <v>100894.31493750001</v>
      </c>
      <c r="N42" s="7">
        <f t="shared" si="2"/>
        <v>-4.5950000000000006</v>
      </c>
      <c r="O42" s="8">
        <f t="shared" si="3"/>
        <v>9.6739999999999993E-2</v>
      </c>
      <c r="P42" s="9">
        <v>3.3</v>
      </c>
    </row>
    <row r="43" spans="1:16">
      <c r="A43" s="3" t="s">
        <v>49</v>
      </c>
      <c r="B43" s="2">
        <v>39429</v>
      </c>
      <c r="C43" s="5">
        <v>2.21</v>
      </c>
      <c r="D43" s="5">
        <v>120.89612500000001</v>
      </c>
      <c r="E43" s="5">
        <v>-40.003188333333334</v>
      </c>
      <c r="F43" s="5">
        <v>-30.82</v>
      </c>
      <c r="G43" s="5">
        <v>16.77</v>
      </c>
      <c r="H43" s="5">
        <v>2.33</v>
      </c>
      <c r="I43" s="5"/>
      <c r="K43" s="8">
        <f t="shared" si="0"/>
        <v>29015.046529856685</v>
      </c>
      <c r="L43" s="8">
        <f t="shared" si="1"/>
        <v>-0.26823020935181441</v>
      </c>
      <c r="M43" s="7">
        <f t="shared" si="4"/>
        <v>-144011.3312625</v>
      </c>
      <c r="N43" s="7">
        <f t="shared" si="2"/>
        <v>1.677</v>
      </c>
      <c r="O43" s="8">
        <f t="shared" si="3"/>
        <v>2.33E-3</v>
      </c>
      <c r="P43" s="9">
        <v>-24</v>
      </c>
    </row>
    <row r="44" spans="1:16">
      <c r="A44" s="3" t="s">
        <v>50</v>
      </c>
      <c r="B44" s="2">
        <v>39953</v>
      </c>
      <c r="C44" s="5">
        <v>1.75</v>
      </c>
      <c r="D44" s="5">
        <v>122.38314583333333</v>
      </c>
      <c r="E44" s="5">
        <v>-47.33661166666667</v>
      </c>
      <c r="F44" s="5">
        <v>-5.93</v>
      </c>
      <c r="G44" s="5">
        <v>9.9</v>
      </c>
      <c r="H44" s="5">
        <v>3.88</v>
      </c>
      <c r="I44" s="5"/>
      <c r="K44" s="8">
        <f t="shared" si="0"/>
        <v>29371.949895649857</v>
      </c>
      <c r="L44" s="8">
        <f t="shared" si="1"/>
        <v>-5.8335430194861912E-2</v>
      </c>
      <c r="M44" s="7">
        <f t="shared" si="4"/>
        <v>-170411.71537500003</v>
      </c>
      <c r="N44" s="7">
        <f t="shared" si="2"/>
        <v>0.99</v>
      </c>
      <c r="O44" s="8">
        <f t="shared" si="3"/>
        <v>3.8799999999999998E-3</v>
      </c>
      <c r="P44" s="9">
        <v>35</v>
      </c>
    </row>
    <row r="45" spans="1:16">
      <c r="A45" s="3" t="s">
        <v>51</v>
      </c>
      <c r="B45" s="2">
        <v>41037</v>
      </c>
      <c r="C45" s="5">
        <v>1.86</v>
      </c>
      <c r="D45" s="5">
        <v>125.62860416666666</v>
      </c>
      <c r="E45" s="5">
        <v>-59.509538333333332</v>
      </c>
      <c r="F45" s="5">
        <v>-25.34</v>
      </c>
      <c r="G45" s="5">
        <v>22.72</v>
      </c>
      <c r="H45" s="5">
        <v>5.16</v>
      </c>
      <c r="I45" s="5"/>
      <c r="K45" s="8">
        <f t="shared" si="0"/>
        <v>30150.835867530983</v>
      </c>
      <c r="L45" s="8">
        <f t="shared" si="1"/>
        <v>-0.3329425030234896</v>
      </c>
      <c r="M45" s="7">
        <f t="shared" si="4"/>
        <v>-214234.13919999998</v>
      </c>
      <c r="N45" s="7">
        <f t="shared" si="2"/>
        <v>2.2719999999999998</v>
      </c>
      <c r="O45" s="8">
        <f t="shared" si="3"/>
        <v>5.1600000000000005E-3</v>
      </c>
      <c r="P45" s="9">
        <v>11.5</v>
      </c>
    </row>
    <row r="46" spans="1:16">
      <c r="A46" s="3" t="s">
        <v>52</v>
      </c>
      <c r="B46" s="2">
        <v>42913</v>
      </c>
      <c r="C46" s="5">
        <v>1.93</v>
      </c>
      <c r="D46" s="5">
        <v>131.17582083333335</v>
      </c>
      <c r="E46" s="5">
        <v>-54.708568055555553</v>
      </c>
      <c r="F46" s="5">
        <v>28.78</v>
      </c>
      <c r="G46" s="5">
        <v>-104.14</v>
      </c>
      <c r="H46" s="5">
        <v>40.9</v>
      </c>
      <c r="I46" s="5"/>
      <c r="K46" s="8">
        <f t="shared" si="0"/>
        <v>31482.226058853474</v>
      </c>
      <c r="L46" s="8">
        <f t="shared" si="1"/>
        <v>0.33210118251654325</v>
      </c>
      <c r="M46" s="7">
        <f t="shared" si="4"/>
        <v>-196951.75622499999</v>
      </c>
      <c r="N46" s="7">
        <f t="shared" si="2"/>
        <v>-10.414</v>
      </c>
      <c r="O46" s="8">
        <f t="shared" si="3"/>
        <v>4.0899999999999999E-2</v>
      </c>
      <c r="P46" s="9"/>
    </row>
    <row r="47" spans="1:16">
      <c r="A47" s="3" t="s">
        <v>53</v>
      </c>
      <c r="B47" s="2">
        <v>43813</v>
      </c>
      <c r="C47" s="5">
        <v>3.11</v>
      </c>
      <c r="D47" s="5">
        <v>133.84868749999998</v>
      </c>
      <c r="E47" s="5">
        <v>5.9455277777777775</v>
      </c>
      <c r="F47" s="5">
        <v>-99.76</v>
      </c>
      <c r="G47" s="5">
        <v>14.65</v>
      </c>
      <c r="H47" s="5">
        <v>21.64</v>
      </c>
      <c r="I47" s="5"/>
      <c r="K47" s="8">
        <f t="shared" si="0"/>
        <v>32123.626491941472</v>
      </c>
      <c r="L47" s="8">
        <f t="shared" si="1"/>
        <v>-0.66866352602163215</v>
      </c>
      <c r="M47" s="7">
        <f t="shared" si="4"/>
        <v>21404.028187499996</v>
      </c>
      <c r="N47" s="7">
        <f t="shared" si="2"/>
        <v>1.4650000000000001</v>
      </c>
      <c r="O47" s="8">
        <f t="shared" si="3"/>
        <v>2.164E-2</v>
      </c>
      <c r="P47" s="9">
        <v>22.8</v>
      </c>
    </row>
    <row r="48" spans="1:16">
      <c r="A48" s="3" t="s">
        <v>54</v>
      </c>
      <c r="B48" s="2">
        <v>44816</v>
      </c>
      <c r="C48" s="5">
        <v>2.23</v>
      </c>
      <c r="D48" s="5">
        <v>136.99907083333335</v>
      </c>
      <c r="E48" s="5">
        <v>-43.432624166666663</v>
      </c>
      <c r="F48" s="5">
        <v>-23.21</v>
      </c>
      <c r="G48" s="5">
        <v>14.28</v>
      </c>
      <c r="H48" s="5">
        <v>5.69</v>
      </c>
      <c r="I48" s="5"/>
      <c r="K48" s="8">
        <f t="shared" si="0"/>
        <v>32879.75835571807</v>
      </c>
      <c r="L48" s="8">
        <f t="shared" si="1"/>
        <v>-0.21307750777874029</v>
      </c>
      <c r="M48" s="7">
        <f t="shared" si="4"/>
        <v>-156357.32204999999</v>
      </c>
      <c r="N48" s="7">
        <f t="shared" si="2"/>
        <v>1.4279999999999999</v>
      </c>
      <c r="O48" s="8">
        <f t="shared" si="3"/>
        <v>5.6900000000000006E-3</v>
      </c>
      <c r="P48" s="9">
        <v>18.399999999999999</v>
      </c>
    </row>
    <row r="49" spans="1:16">
      <c r="A49" s="3" t="s">
        <v>55</v>
      </c>
      <c r="B49" s="2">
        <v>45238</v>
      </c>
      <c r="C49" s="5">
        <v>1.67</v>
      </c>
      <c r="D49" s="5">
        <v>138.30100416666664</v>
      </c>
      <c r="E49" s="5">
        <v>-69.7174725</v>
      </c>
      <c r="F49" s="5">
        <v>-157.66</v>
      </c>
      <c r="G49" s="5">
        <v>108.91</v>
      </c>
      <c r="H49" s="5">
        <v>29.34</v>
      </c>
      <c r="I49" s="5"/>
      <c r="K49" s="8">
        <f t="shared" si="0"/>
        <v>33191.975693687687</v>
      </c>
      <c r="L49" s="8">
        <f t="shared" si="1"/>
        <v>-3.0320721406463265</v>
      </c>
      <c r="M49" s="7">
        <f t="shared" si="4"/>
        <v>-250981.9480375</v>
      </c>
      <c r="N49" s="7">
        <f t="shared" si="2"/>
        <v>10.891</v>
      </c>
      <c r="O49" s="8">
        <f t="shared" si="3"/>
        <v>2.9340000000000001E-2</v>
      </c>
      <c r="P49" s="9">
        <v>-5</v>
      </c>
    </row>
    <row r="50" spans="1:16">
      <c r="A50" s="3" t="s">
        <v>56</v>
      </c>
      <c r="B50" s="2">
        <v>45556</v>
      </c>
      <c r="C50" s="5">
        <v>2.21</v>
      </c>
      <c r="D50" s="5">
        <v>139.27261666666666</v>
      </c>
      <c r="E50" s="5">
        <v>-59.275261111111114</v>
      </c>
      <c r="F50" s="5">
        <v>-19.03</v>
      </c>
      <c r="G50" s="5">
        <v>13.11</v>
      </c>
      <c r="H50" s="5">
        <v>4.71</v>
      </c>
      <c r="I50" s="5"/>
      <c r="K50" s="8">
        <f t="shared" si="0"/>
        <v>33425.406272604698</v>
      </c>
      <c r="L50" s="8">
        <f t="shared" si="1"/>
        <v>-0.24831308913281611</v>
      </c>
      <c r="M50" s="7">
        <f t="shared" si="4"/>
        <v>-213390.82528749999</v>
      </c>
      <c r="N50" s="7">
        <f t="shared" si="2"/>
        <v>1.3109999999999999</v>
      </c>
      <c r="O50" s="8">
        <f t="shared" si="3"/>
        <v>4.7099999999999998E-3</v>
      </c>
      <c r="P50" s="9">
        <v>13.3</v>
      </c>
    </row>
    <row r="51" spans="1:16">
      <c r="A51" s="3" t="s">
        <v>57</v>
      </c>
      <c r="B51" s="2">
        <v>45860</v>
      </c>
      <c r="C51" s="5">
        <v>3.14</v>
      </c>
      <c r="D51" s="5">
        <v>140.26441249999999</v>
      </c>
      <c r="E51" s="5">
        <v>34.39252583333333</v>
      </c>
      <c r="F51" s="5">
        <v>-222.8</v>
      </c>
      <c r="G51" s="5">
        <v>14.78</v>
      </c>
      <c r="H51" s="5">
        <v>14.69</v>
      </c>
      <c r="I51" s="5"/>
      <c r="K51" s="8">
        <f t="shared" si="0"/>
        <v>33663.301500382746</v>
      </c>
      <c r="L51" s="8">
        <f t="shared" si="1"/>
        <v>-1.7999956256838523</v>
      </c>
      <c r="M51" s="7">
        <f t="shared" si="4"/>
        <v>123813.222325</v>
      </c>
      <c r="N51" s="7">
        <f t="shared" si="2"/>
        <v>1.478</v>
      </c>
      <c r="O51" s="8">
        <f t="shared" si="3"/>
        <v>1.469E-2</v>
      </c>
      <c r="P51" s="9">
        <v>37.6</v>
      </c>
    </row>
    <row r="52" spans="1:16">
      <c r="A52" s="3" t="s">
        <v>58</v>
      </c>
      <c r="B52" s="2">
        <v>46390</v>
      </c>
      <c r="C52" s="5">
        <v>1.99</v>
      </c>
      <c r="D52" s="5">
        <v>141.89688333333334</v>
      </c>
      <c r="E52" s="5">
        <v>-8.6586833333333342</v>
      </c>
      <c r="F52" s="5">
        <v>-14.49</v>
      </c>
      <c r="G52" s="5">
        <v>33.25</v>
      </c>
      <c r="H52" s="5">
        <v>18.399999999999999</v>
      </c>
      <c r="I52" s="5"/>
      <c r="K52" s="8">
        <f t="shared" si="0"/>
        <v>34055.243450053749</v>
      </c>
      <c r="L52" s="8">
        <f t="shared" si="1"/>
        <v>-9.7713671464707941E-2</v>
      </c>
      <c r="M52" s="7">
        <f t="shared" si="4"/>
        <v>-31170.9690625</v>
      </c>
      <c r="N52" s="7">
        <f t="shared" si="2"/>
        <v>3.3250000000000002</v>
      </c>
      <c r="O52" s="8">
        <f t="shared" si="3"/>
        <v>1.84E-2</v>
      </c>
      <c r="P52" s="9">
        <v>-4.3</v>
      </c>
    </row>
    <row r="53" spans="1:16">
      <c r="A53" s="3" t="s">
        <v>59</v>
      </c>
      <c r="B53" s="2">
        <v>49669</v>
      </c>
      <c r="C53" s="5">
        <v>1.36</v>
      </c>
      <c r="D53" s="5">
        <v>152.09357916666667</v>
      </c>
      <c r="E53" s="5">
        <v>11.967195</v>
      </c>
      <c r="F53" s="5">
        <v>-249.4</v>
      </c>
      <c r="G53" s="5">
        <v>4.91</v>
      </c>
      <c r="H53" s="5">
        <v>42.09</v>
      </c>
      <c r="I53" s="5"/>
      <c r="K53" s="8">
        <f t="shared" si="0"/>
        <v>36502.310284556806</v>
      </c>
      <c r="L53" s="8">
        <f t="shared" si="1"/>
        <v>-1.6996050650771051</v>
      </c>
      <c r="M53" s="7">
        <f t="shared" si="4"/>
        <v>43081.944962500005</v>
      </c>
      <c r="N53" s="7">
        <f t="shared" si="2"/>
        <v>0.49099999999999999</v>
      </c>
      <c r="O53" s="8">
        <f t="shared" si="3"/>
        <v>4.2090000000000002E-2</v>
      </c>
      <c r="P53" s="9">
        <v>3.5</v>
      </c>
    </row>
    <row r="54" spans="1:16">
      <c r="A54" s="3" t="s">
        <v>60</v>
      </c>
      <c r="B54" s="2">
        <v>52727</v>
      </c>
      <c r="C54" s="5">
        <v>2.69</v>
      </c>
      <c r="D54" s="5">
        <v>161.69217499999999</v>
      </c>
      <c r="E54" s="5">
        <v>-49.420125277777778</v>
      </c>
      <c r="F54" s="5">
        <v>62.55</v>
      </c>
      <c r="G54" s="5">
        <v>-53.57</v>
      </c>
      <c r="H54" s="5">
        <v>28.18</v>
      </c>
      <c r="I54" s="5"/>
      <c r="K54" s="8">
        <f t="shared" si="0"/>
        <v>38806.178090823007</v>
      </c>
      <c r="L54" s="8">
        <f t="shared" si="1"/>
        <v>0.64103797726505374</v>
      </c>
      <c r="M54" s="7">
        <f t="shared" si="4"/>
        <v>-177912.91973749999</v>
      </c>
      <c r="N54" s="7">
        <f t="shared" si="2"/>
        <v>-5.3570000000000002</v>
      </c>
      <c r="O54" s="8">
        <f t="shared" si="3"/>
        <v>2.818E-2</v>
      </c>
      <c r="P54" s="9"/>
    </row>
    <row r="55" spans="1:16">
      <c r="A55" s="3" t="s">
        <v>61</v>
      </c>
      <c r="B55" s="2">
        <v>52943</v>
      </c>
      <c r="C55" s="5">
        <v>3.11</v>
      </c>
      <c r="D55" s="5">
        <v>162.40596666666667</v>
      </c>
      <c r="E55" s="5">
        <v>-16.194131944444443</v>
      </c>
      <c r="F55" s="5">
        <v>92.77</v>
      </c>
      <c r="G55" s="5">
        <v>199.02</v>
      </c>
      <c r="H55" s="5">
        <v>23.54</v>
      </c>
      <c r="I55" s="5"/>
      <c r="K55" s="8">
        <f t="shared" si="0"/>
        <v>38977.488351743494</v>
      </c>
      <c r="L55" s="8">
        <f t="shared" si="1"/>
        <v>0.64401992566927291</v>
      </c>
      <c r="M55" s="7">
        <f t="shared" si="4"/>
        <v>-58297.133574999993</v>
      </c>
      <c r="N55" s="7">
        <f t="shared" si="2"/>
        <v>19.902000000000001</v>
      </c>
      <c r="O55" s="8">
        <f t="shared" si="3"/>
        <v>2.3539999999999998E-2</v>
      </c>
      <c r="P55" s="9">
        <v>-1</v>
      </c>
    </row>
    <row r="56" spans="1:16">
      <c r="A56" s="3" t="s">
        <v>62</v>
      </c>
      <c r="B56" s="2">
        <v>53910</v>
      </c>
      <c r="C56" s="5">
        <v>2.34</v>
      </c>
      <c r="D56" s="5">
        <v>165.45996249999999</v>
      </c>
      <c r="E56" s="5">
        <v>56.382344722222221</v>
      </c>
      <c r="F56" s="5">
        <v>81.66</v>
      </c>
      <c r="G56" s="5">
        <v>33.74</v>
      </c>
      <c r="H56" s="5">
        <v>41.07</v>
      </c>
      <c r="I56" s="5"/>
      <c r="K56" s="8">
        <f t="shared" si="0"/>
        <v>39710.477038393299</v>
      </c>
      <c r="L56" s="8">
        <f t="shared" si="1"/>
        <v>0.9832959234817672</v>
      </c>
      <c r="M56" s="7">
        <f t="shared" si="4"/>
        <v>202976.736225</v>
      </c>
      <c r="N56" s="7">
        <f t="shared" si="2"/>
        <v>3.3740000000000001</v>
      </c>
      <c r="O56" s="8">
        <f t="shared" si="3"/>
        <v>4.1070000000000002E-2</v>
      </c>
      <c r="P56" s="9">
        <v>-12</v>
      </c>
    </row>
    <row r="57" spans="1:16">
      <c r="A57" s="3" t="s">
        <v>63</v>
      </c>
      <c r="B57" s="2">
        <v>54061</v>
      </c>
      <c r="C57" s="5">
        <v>1.81</v>
      </c>
      <c r="D57" s="5">
        <v>165.93265416666668</v>
      </c>
      <c r="E57" s="5">
        <v>61.75111888888889</v>
      </c>
      <c r="F57" s="5">
        <v>-136.46</v>
      </c>
      <c r="G57" s="5">
        <v>-35.25</v>
      </c>
      <c r="H57" s="5">
        <v>26.38</v>
      </c>
      <c r="I57" s="5"/>
      <c r="K57" s="8">
        <f t="shared" si="0"/>
        <v>39823.668816496669</v>
      </c>
      <c r="L57" s="8">
        <f t="shared" si="1"/>
        <v>-1.9220971809583138</v>
      </c>
      <c r="M57" s="7">
        <f t="shared" si="4"/>
        <v>222303.71956249999</v>
      </c>
      <c r="N57" s="7">
        <f t="shared" si="2"/>
        <v>-3.5249999999999999</v>
      </c>
      <c r="O57" s="8">
        <f t="shared" si="3"/>
        <v>2.6380000000000001E-2</v>
      </c>
      <c r="P57" s="9">
        <v>-8.9</v>
      </c>
    </row>
    <row r="58" spans="1:16">
      <c r="A58" s="3" t="s">
        <v>64</v>
      </c>
      <c r="B58" s="2">
        <v>57632</v>
      </c>
      <c r="C58" s="5">
        <v>2.14</v>
      </c>
      <c r="D58" s="5">
        <v>177.26615833333335</v>
      </c>
      <c r="E58" s="5">
        <v>14.572336944444444</v>
      </c>
      <c r="F58" s="5">
        <v>-499.02</v>
      </c>
      <c r="G58" s="5">
        <v>-113.78</v>
      </c>
      <c r="H58" s="5">
        <v>90.16</v>
      </c>
      <c r="I58" s="5"/>
      <c r="K58" s="8">
        <f t="shared" si="0"/>
        <v>42543.577229439557</v>
      </c>
      <c r="L58" s="8">
        <f t="shared" si="1"/>
        <v>-3.4373778337157379</v>
      </c>
      <c r="M58" s="7">
        <f t="shared" si="4"/>
        <v>52459.417425</v>
      </c>
      <c r="N58" s="7">
        <f t="shared" si="2"/>
        <v>-11.378</v>
      </c>
      <c r="O58" s="8">
        <f t="shared" si="3"/>
        <v>9.015999999999999E-2</v>
      </c>
      <c r="P58" s="9">
        <v>-0.1</v>
      </c>
    </row>
    <row r="59" spans="1:16">
      <c r="A59" s="3" t="s">
        <v>65</v>
      </c>
      <c r="B59" s="2">
        <v>59803</v>
      </c>
      <c r="C59" s="5">
        <v>2.58</v>
      </c>
      <c r="D59" s="5">
        <v>183.95195000000001</v>
      </c>
      <c r="E59" s="5">
        <v>-17.54198361111111</v>
      </c>
      <c r="F59" s="5">
        <v>-159.58000000000001</v>
      </c>
      <c r="G59" s="5">
        <v>22.31</v>
      </c>
      <c r="H59" s="5">
        <v>19.78</v>
      </c>
      <c r="I59" s="5"/>
      <c r="K59" s="8">
        <f t="shared" si="0"/>
        <v>44148.370371589415</v>
      </c>
      <c r="L59" s="8">
        <f t="shared" si="1"/>
        <v>-1.1157532638363978</v>
      </c>
      <c r="M59" s="7">
        <f t="shared" si="4"/>
        <v>-63150.945787499993</v>
      </c>
      <c r="N59" s="7">
        <f t="shared" si="2"/>
        <v>2.2309999999999999</v>
      </c>
      <c r="O59" s="8">
        <f t="shared" si="3"/>
        <v>1.9780000000000002E-2</v>
      </c>
      <c r="P59" s="9">
        <v>-4.2</v>
      </c>
    </row>
    <row r="60" spans="1:16">
      <c r="A60" s="3" t="s">
        <v>66</v>
      </c>
      <c r="B60" s="2">
        <v>60718</v>
      </c>
      <c r="C60" s="5">
        <v>0.77</v>
      </c>
      <c r="D60" s="5">
        <v>186.64975416666667</v>
      </c>
      <c r="E60" s="5">
        <v>-63.099055833333331</v>
      </c>
      <c r="F60" s="5">
        <v>-35.369999999999997</v>
      </c>
      <c r="G60" s="5">
        <v>-14.73</v>
      </c>
      <c r="H60" s="5">
        <v>10.17</v>
      </c>
      <c r="I60" s="5"/>
      <c r="K60" s="8">
        <f t="shared" si="0"/>
        <v>44795.895398216082</v>
      </c>
      <c r="L60" s="8">
        <f t="shared" si="1"/>
        <v>-0.52116324473953912</v>
      </c>
      <c r="M60" s="7">
        <f t="shared" si="4"/>
        <v>-227156.7298875</v>
      </c>
      <c r="N60" s="7">
        <f t="shared" si="2"/>
        <v>-1.4730000000000001</v>
      </c>
      <c r="O60" s="8">
        <f t="shared" si="3"/>
        <v>1.017E-2</v>
      </c>
      <c r="P60" s="9">
        <v>-11.2</v>
      </c>
    </row>
    <row r="61" spans="1:16">
      <c r="A61" s="3" t="s">
        <v>67</v>
      </c>
      <c r="B61" s="2">
        <v>61084</v>
      </c>
      <c r="C61" s="5">
        <v>1.59</v>
      </c>
      <c r="D61" s="5">
        <v>187.79137083333333</v>
      </c>
      <c r="E61" s="5">
        <v>-57.112569166666667</v>
      </c>
      <c r="F61" s="5">
        <v>27.94</v>
      </c>
      <c r="G61" s="5">
        <v>-264.33</v>
      </c>
      <c r="H61" s="5">
        <v>37.090000000000003</v>
      </c>
      <c r="I61" s="5"/>
      <c r="K61" s="8">
        <f t="shared" si="0"/>
        <v>45069.959015885979</v>
      </c>
      <c r="L61" s="8">
        <f t="shared" si="1"/>
        <v>0.34303869693862687</v>
      </c>
      <c r="M61" s="7">
        <f t="shared" si="4"/>
        <v>-205607.56188750002</v>
      </c>
      <c r="N61" s="7">
        <f t="shared" si="2"/>
        <v>-26.433</v>
      </c>
      <c r="O61" s="8">
        <f t="shared" si="3"/>
        <v>3.7090000000000005E-2</v>
      </c>
      <c r="P61" s="9">
        <v>21.3</v>
      </c>
    </row>
    <row r="62" spans="1:16">
      <c r="A62" s="3" t="s">
        <v>68</v>
      </c>
      <c r="B62" s="2">
        <v>61932</v>
      </c>
      <c r="C62" s="5">
        <v>2.2000000000000002</v>
      </c>
      <c r="D62" s="5">
        <v>190.38002083333333</v>
      </c>
      <c r="E62" s="5">
        <v>-48.959885555555559</v>
      </c>
      <c r="F62" s="5">
        <v>-187.28</v>
      </c>
      <c r="G62" s="5">
        <v>-1.2</v>
      </c>
      <c r="H62" s="5">
        <v>25.01</v>
      </c>
      <c r="I62" s="5"/>
      <c r="K62" s="8">
        <f t="shared" si="0"/>
        <v>45691.038614398363</v>
      </c>
      <c r="L62" s="8">
        <f t="shared" si="1"/>
        <v>-1.901549732972255</v>
      </c>
      <c r="M62" s="7">
        <f t="shared" si="4"/>
        <v>-176255.59850000002</v>
      </c>
      <c r="N62" s="7">
        <f t="shared" si="2"/>
        <v>-0.12</v>
      </c>
      <c r="O62" s="8">
        <f t="shared" si="3"/>
        <v>2.5010000000000001E-2</v>
      </c>
      <c r="P62" s="9"/>
    </row>
    <row r="63" spans="1:16">
      <c r="A63" s="3" t="s">
        <v>69</v>
      </c>
      <c r="B63" s="2">
        <v>62434</v>
      </c>
      <c r="C63" s="5">
        <v>1.25</v>
      </c>
      <c r="D63" s="5">
        <v>191.93049583333334</v>
      </c>
      <c r="E63" s="5">
        <v>-59.6887325</v>
      </c>
      <c r="F63" s="5">
        <v>-48.24</v>
      </c>
      <c r="G63" s="5">
        <v>-12.82</v>
      </c>
      <c r="H63" s="5">
        <v>9.25</v>
      </c>
      <c r="I63" s="5"/>
      <c r="K63" s="8">
        <f t="shared" si="0"/>
        <v>46063.263243818743</v>
      </c>
      <c r="L63" s="8">
        <f t="shared" si="1"/>
        <v>-0.63721350012578037</v>
      </c>
      <c r="M63" s="7">
        <f t="shared" si="4"/>
        <v>-214879.54917499999</v>
      </c>
      <c r="N63" s="7">
        <f t="shared" si="2"/>
        <v>-1.282</v>
      </c>
      <c r="O63" s="8">
        <f t="shared" si="3"/>
        <v>9.2499999999999995E-3</v>
      </c>
      <c r="P63" s="9">
        <v>20</v>
      </c>
    </row>
    <row r="64" spans="1:16">
      <c r="A64" s="3" t="s">
        <v>70</v>
      </c>
      <c r="B64" s="2">
        <v>62956</v>
      </c>
      <c r="C64" s="5">
        <v>1.76</v>
      </c>
      <c r="D64" s="5">
        <v>193.50680416666665</v>
      </c>
      <c r="E64" s="5">
        <v>55.959843055555552</v>
      </c>
      <c r="F64" s="5">
        <v>111.74</v>
      </c>
      <c r="G64" s="5">
        <v>-8.99</v>
      </c>
      <c r="H64" s="5">
        <v>40.299999999999997</v>
      </c>
      <c r="I64" s="5"/>
      <c r="K64" s="8">
        <f t="shared" si="0"/>
        <v>46441.749442864937</v>
      </c>
      <c r="L64" s="8">
        <f t="shared" si="1"/>
        <v>1.3307755993337773</v>
      </c>
      <c r="M64" s="7">
        <f t="shared" si="4"/>
        <v>201455.35633750001</v>
      </c>
      <c r="N64" s="7">
        <f t="shared" si="2"/>
        <v>-0.89900000000000002</v>
      </c>
      <c r="O64" s="8">
        <f t="shared" si="3"/>
        <v>4.0299999999999996E-2</v>
      </c>
      <c r="P64" s="9">
        <v>-9.3000000000000007</v>
      </c>
    </row>
    <row r="65" spans="1:16">
      <c r="A65" s="3" t="s">
        <v>71</v>
      </c>
      <c r="B65" s="2">
        <v>63125</v>
      </c>
      <c r="C65" s="5">
        <v>2.89</v>
      </c>
      <c r="D65" s="5">
        <v>194.00767083333332</v>
      </c>
      <c r="E65" s="5">
        <v>38.318246111111108</v>
      </c>
      <c r="F65" s="5">
        <v>-233.43</v>
      </c>
      <c r="G65" s="5">
        <v>54.98</v>
      </c>
      <c r="H65" s="5">
        <v>29.6</v>
      </c>
      <c r="I65" s="5"/>
      <c r="K65" s="8">
        <f t="shared" si="0"/>
        <v>46561.667445129067</v>
      </c>
      <c r="L65" s="8">
        <f t="shared" si="1"/>
        <v>-1.9834842392535457</v>
      </c>
      <c r="M65" s="7">
        <f t="shared" si="4"/>
        <v>137946.16707499998</v>
      </c>
      <c r="N65" s="7">
        <f t="shared" si="2"/>
        <v>5.4979999999999993</v>
      </c>
      <c r="O65" s="8">
        <f t="shared" si="3"/>
        <v>2.9600000000000001E-2</v>
      </c>
      <c r="P65" s="9">
        <v>-3.3</v>
      </c>
    </row>
    <row r="66" spans="1:16">
      <c r="A66" s="3" t="s">
        <v>72</v>
      </c>
      <c r="B66" s="2">
        <v>63608</v>
      </c>
      <c r="C66" s="5">
        <v>2.85</v>
      </c>
      <c r="D66" s="5">
        <v>195.5448375</v>
      </c>
      <c r="E66" s="5">
        <v>10.959101944444445</v>
      </c>
      <c r="F66" s="5">
        <v>-275.05</v>
      </c>
      <c r="G66" s="5">
        <v>19.96</v>
      </c>
      <c r="H66" s="5">
        <v>31.9</v>
      </c>
      <c r="I66" s="5"/>
      <c r="K66" s="8">
        <f t="shared" si="0"/>
        <v>46930.59757378466</v>
      </c>
      <c r="L66" s="8">
        <f t="shared" si="1"/>
        <v>-1.8677281752898371</v>
      </c>
      <c r="M66" s="7">
        <f t="shared" si="4"/>
        <v>39452.941650000001</v>
      </c>
      <c r="N66" s="7">
        <f t="shared" si="2"/>
        <v>1.996</v>
      </c>
      <c r="O66" s="8">
        <f t="shared" si="3"/>
        <v>3.1899999999999998E-2</v>
      </c>
      <c r="P66" s="9">
        <v>-14</v>
      </c>
    </row>
    <row r="67" spans="1:16">
      <c r="A67" s="3" t="s">
        <v>73</v>
      </c>
      <c r="B67" s="2">
        <v>65378</v>
      </c>
      <c r="C67" s="5">
        <v>2.23</v>
      </c>
      <c r="D67" s="5">
        <v>200.98091666666667</v>
      </c>
      <c r="E67" s="5">
        <v>54.92541527777778</v>
      </c>
      <c r="F67" s="5">
        <v>121.23</v>
      </c>
      <c r="G67" s="5">
        <v>-22.01</v>
      </c>
      <c r="H67" s="5">
        <v>41.73</v>
      </c>
      <c r="I67" s="5"/>
      <c r="K67" s="8">
        <f t="shared" si="0"/>
        <v>48235.543063516925</v>
      </c>
      <c r="L67" s="8">
        <f t="shared" si="1"/>
        <v>1.4064401934162425</v>
      </c>
      <c r="M67" s="7">
        <f t="shared" si="4"/>
        <v>197731.30241249999</v>
      </c>
      <c r="N67" s="7">
        <f t="shared" si="2"/>
        <v>-2.2010000000000001</v>
      </c>
      <c r="O67" s="8">
        <f t="shared" si="3"/>
        <v>4.1729999999999996E-2</v>
      </c>
      <c r="P67" s="9">
        <v>-9</v>
      </c>
    </row>
    <row r="68" spans="1:16">
      <c r="A68" s="3" t="s">
        <v>74</v>
      </c>
      <c r="B68" s="2">
        <v>65474</v>
      </c>
      <c r="C68" s="5">
        <v>0.98</v>
      </c>
      <c r="D68" s="5">
        <v>201.29835416666668</v>
      </c>
      <c r="E68" s="5">
        <v>-11.161244999999999</v>
      </c>
      <c r="F68" s="5">
        <v>-42.5</v>
      </c>
      <c r="G68" s="5">
        <v>-31.73</v>
      </c>
      <c r="H68" s="5">
        <v>12.44</v>
      </c>
      <c r="I68" s="5"/>
      <c r="K68" s="8">
        <f t="shared" si="0"/>
        <v>48311.579730391837</v>
      </c>
      <c r="L68" s="8">
        <f t="shared" si="1"/>
        <v>-0.28879552187197965</v>
      </c>
      <c r="M68" s="7">
        <f t="shared" si="4"/>
        <v>-40180.759637499999</v>
      </c>
      <c r="N68" s="7">
        <f t="shared" si="2"/>
        <v>-3.173</v>
      </c>
      <c r="O68" s="8">
        <f t="shared" si="3"/>
        <v>1.244E-2</v>
      </c>
      <c r="P68" s="9">
        <v>1</v>
      </c>
    </row>
    <row r="69" spans="1:16">
      <c r="A69" s="3" t="s">
        <v>75</v>
      </c>
      <c r="B69" s="2">
        <v>67301</v>
      </c>
      <c r="C69" s="5">
        <v>1.85</v>
      </c>
      <c r="D69" s="5">
        <v>206.88560833333332</v>
      </c>
      <c r="E69" s="5">
        <v>49.313302777777778</v>
      </c>
      <c r="F69" s="5">
        <v>-121.23</v>
      </c>
      <c r="G69" s="5">
        <v>-15.56</v>
      </c>
      <c r="H69" s="5">
        <v>32.39</v>
      </c>
      <c r="I69" s="5"/>
      <c r="K69" s="8">
        <f t="shared" ref="K69:K102" si="5">D69*240+L69*0.0875</f>
        <v>49652.437524660243</v>
      </c>
      <c r="L69" s="8">
        <f t="shared" ref="L69:L102" si="6">F69/(150*COS(RADIANS(E69)))</f>
        <v>-1.2397181685573673</v>
      </c>
      <c r="M69" s="7">
        <f t="shared" si="4"/>
        <v>177527.75385000001</v>
      </c>
      <c r="N69" s="7">
        <f t="shared" ref="N69:N102" si="7">G69/10</f>
        <v>-1.556</v>
      </c>
      <c r="O69" s="8">
        <f t="shared" ref="O69:O102" si="8">H69/1000</f>
        <v>3.2390000000000002E-2</v>
      </c>
      <c r="P69" s="9">
        <v>-10.9</v>
      </c>
    </row>
    <row r="70" spans="1:16">
      <c r="A70" s="3" t="s">
        <v>76</v>
      </c>
      <c r="B70" s="2">
        <v>68702</v>
      </c>
      <c r="C70" s="5">
        <v>0.61</v>
      </c>
      <c r="D70" s="5">
        <v>210.95602083333333</v>
      </c>
      <c r="E70" s="5">
        <v>-60.372978333333336</v>
      </c>
      <c r="F70" s="5">
        <v>-33.96</v>
      </c>
      <c r="G70" s="5">
        <v>-25.06</v>
      </c>
      <c r="H70" s="5">
        <v>6.21</v>
      </c>
      <c r="I70" s="5"/>
      <c r="K70" s="8">
        <f t="shared" si="5"/>
        <v>50629.404927329517</v>
      </c>
      <c r="L70" s="8">
        <f t="shared" si="6"/>
        <v>-0.4579733769292566</v>
      </c>
      <c r="M70" s="7">
        <f t="shared" ref="M70:M102" si="9">E70*3600+0.00875*G70</f>
        <v>-217342.94127500002</v>
      </c>
      <c r="N70" s="7">
        <f t="shared" si="7"/>
        <v>-2.5059999999999998</v>
      </c>
      <c r="O70" s="8">
        <f t="shared" si="8"/>
        <v>6.2100000000000002E-3</v>
      </c>
      <c r="P70" s="9">
        <v>-12</v>
      </c>
    </row>
    <row r="71" spans="1:16">
      <c r="A71" s="3" t="s">
        <v>77</v>
      </c>
      <c r="B71" s="2">
        <v>68933</v>
      </c>
      <c r="C71" s="5">
        <v>2.06</v>
      </c>
      <c r="D71" s="5">
        <v>211.67218750000001</v>
      </c>
      <c r="E71" s="5">
        <v>-36.368695833333334</v>
      </c>
      <c r="F71" s="5">
        <v>-519.29</v>
      </c>
      <c r="G71" s="5">
        <v>-517.87</v>
      </c>
      <c r="H71" s="5">
        <v>53.52</v>
      </c>
      <c r="I71" s="5"/>
      <c r="K71" s="8">
        <f t="shared" si="5"/>
        <v>50800.948804727377</v>
      </c>
      <c r="L71" s="8">
        <f t="shared" si="6"/>
        <v>-4.2993745443186997</v>
      </c>
      <c r="M71" s="7">
        <f t="shared" si="9"/>
        <v>-130931.83636250001</v>
      </c>
      <c r="N71" s="7">
        <f t="shared" si="7"/>
        <v>-51.786999999999999</v>
      </c>
      <c r="O71" s="8">
        <f t="shared" si="8"/>
        <v>5.3520000000000005E-2</v>
      </c>
      <c r="P71" s="9">
        <v>1.3</v>
      </c>
    </row>
    <row r="72" spans="1:16">
      <c r="A72" s="3" t="s">
        <v>78</v>
      </c>
      <c r="B72" s="2">
        <v>69673</v>
      </c>
      <c r="C72" s="5">
        <v>-0.05</v>
      </c>
      <c r="D72" s="5">
        <v>213.91811249999998</v>
      </c>
      <c r="E72" s="5">
        <v>19.187270000000002</v>
      </c>
      <c r="F72" s="5">
        <v>-1093.45</v>
      </c>
      <c r="G72" s="5">
        <v>-1999.4</v>
      </c>
      <c r="H72" s="5">
        <v>88.85</v>
      </c>
      <c r="I72" s="5"/>
      <c r="K72" s="8">
        <f t="shared" si="5"/>
        <v>51339.671637377673</v>
      </c>
      <c r="L72" s="8">
        <f t="shared" si="6"/>
        <v>-7.7184299694088763</v>
      </c>
      <c r="M72" s="7">
        <f t="shared" si="9"/>
        <v>69056.677250000008</v>
      </c>
      <c r="N72" s="7">
        <f t="shared" si="7"/>
        <v>-199.94</v>
      </c>
      <c r="O72" s="8">
        <f t="shared" si="8"/>
        <v>8.8849999999999998E-2</v>
      </c>
      <c r="P72" s="9">
        <v>-5.2</v>
      </c>
    </row>
    <row r="73" spans="1:16">
      <c r="A73" s="3" t="s">
        <v>79</v>
      </c>
      <c r="B73" s="2">
        <v>71681</v>
      </c>
      <c r="C73" s="5">
        <v>1.35</v>
      </c>
      <c r="D73" s="5">
        <v>219.91412916666667</v>
      </c>
      <c r="E73" s="5">
        <v>-60.839471388888889</v>
      </c>
      <c r="F73" s="5">
        <v>-3600.35</v>
      </c>
      <c r="G73" s="5">
        <v>952.11</v>
      </c>
      <c r="H73" s="5">
        <v>742.12</v>
      </c>
      <c r="I73" s="5"/>
      <c r="K73" s="8">
        <f t="shared" si="5"/>
        <v>52775.080750849949</v>
      </c>
      <c r="L73" s="8">
        <f t="shared" si="6"/>
        <v>-49.259990286340141</v>
      </c>
      <c r="M73" s="7">
        <f t="shared" si="9"/>
        <v>-219013.7660375</v>
      </c>
      <c r="N73" s="7">
        <f t="shared" si="7"/>
        <v>95.210999999999999</v>
      </c>
      <c r="O73" s="8">
        <f t="shared" si="8"/>
        <v>0.74212</v>
      </c>
      <c r="P73" s="9">
        <v>-22.2</v>
      </c>
    </row>
    <row r="74" spans="1:16">
      <c r="A74" s="3" t="s">
        <v>80</v>
      </c>
      <c r="B74" s="2">
        <v>72622</v>
      </c>
      <c r="C74" s="5">
        <v>2.75</v>
      </c>
      <c r="D74" s="5">
        <v>222.71990416666665</v>
      </c>
      <c r="E74" s="5">
        <v>-16.041610555555554</v>
      </c>
      <c r="F74" s="5">
        <v>-105.69</v>
      </c>
      <c r="G74" s="5">
        <v>-69</v>
      </c>
      <c r="H74" s="5">
        <v>42.25</v>
      </c>
      <c r="I74" s="5"/>
      <c r="K74" s="8">
        <f t="shared" si="5"/>
        <v>53452.712849563017</v>
      </c>
      <c r="L74" s="8">
        <f t="shared" si="6"/>
        <v>-0.73314785117188774</v>
      </c>
      <c r="M74" s="7">
        <f t="shared" si="9"/>
        <v>-57750.401749999997</v>
      </c>
      <c r="N74" s="7">
        <f t="shared" si="7"/>
        <v>-6.9</v>
      </c>
      <c r="O74" s="8">
        <f t="shared" si="8"/>
        <v>4.2250000000000003E-2</v>
      </c>
      <c r="P74" s="9">
        <v>-10</v>
      </c>
    </row>
    <row r="75" spans="1:16">
      <c r="A75" s="3" t="s">
        <v>81</v>
      </c>
      <c r="B75" s="2">
        <v>72607</v>
      </c>
      <c r="C75" s="5">
        <v>2.0699999999999998</v>
      </c>
      <c r="D75" s="5">
        <v>222.67664583333334</v>
      </c>
      <c r="E75" s="5">
        <v>74.155475833333327</v>
      </c>
      <c r="F75" s="5">
        <v>-32.29</v>
      </c>
      <c r="G75" s="5">
        <v>11.91</v>
      </c>
      <c r="H75" s="5">
        <v>25.79</v>
      </c>
      <c r="I75" s="5"/>
      <c r="K75" s="8">
        <f t="shared" si="5"/>
        <v>53442.326011323472</v>
      </c>
      <c r="L75" s="8">
        <f t="shared" si="6"/>
        <v>-0.78844201750400755</v>
      </c>
      <c r="M75" s="7">
        <f t="shared" si="9"/>
        <v>266959.81721249997</v>
      </c>
      <c r="N75" s="7">
        <f t="shared" si="7"/>
        <v>1.1910000000000001</v>
      </c>
      <c r="O75" s="8">
        <f t="shared" si="8"/>
        <v>2.579E-2</v>
      </c>
      <c r="P75" s="9">
        <v>16.899999999999999</v>
      </c>
    </row>
    <row r="76" spans="1:16">
      <c r="A76" s="3" t="s">
        <v>82</v>
      </c>
      <c r="B76" s="2">
        <v>74785</v>
      </c>
      <c r="C76" s="5">
        <v>2.61</v>
      </c>
      <c r="D76" s="5">
        <v>229.25196666666668</v>
      </c>
      <c r="E76" s="5">
        <v>-9.3828669444444444</v>
      </c>
      <c r="F76" s="5">
        <v>-96.39</v>
      </c>
      <c r="G76" s="5">
        <v>-20.76</v>
      </c>
      <c r="H76" s="5">
        <v>20.38</v>
      </c>
      <c r="I76" s="5"/>
      <c r="K76" s="8">
        <f t="shared" si="5"/>
        <v>55020.415010028701</v>
      </c>
      <c r="L76" s="8">
        <f t="shared" si="6"/>
        <v>-0.65131395772626322</v>
      </c>
      <c r="M76" s="7">
        <f t="shared" si="9"/>
        <v>-33778.502649999995</v>
      </c>
      <c r="N76" s="7">
        <f t="shared" si="7"/>
        <v>-2.0760000000000001</v>
      </c>
      <c r="O76" s="8">
        <f t="shared" si="8"/>
        <v>2.0379999999999999E-2</v>
      </c>
      <c r="P76" s="9">
        <v>-35.200000000000003</v>
      </c>
    </row>
    <row r="77" spans="1:16">
      <c r="A77" s="3" t="s">
        <v>83</v>
      </c>
      <c r="B77" s="2">
        <v>76267</v>
      </c>
      <c r="C77" s="5">
        <v>2.2200000000000002</v>
      </c>
      <c r="D77" s="5">
        <v>233.67162500000001</v>
      </c>
      <c r="E77" s="5">
        <v>26.714910277777779</v>
      </c>
      <c r="F77" s="5">
        <v>120.38</v>
      </c>
      <c r="G77" s="5">
        <v>-89.44</v>
      </c>
      <c r="H77" s="5">
        <v>43.65</v>
      </c>
      <c r="I77" s="5"/>
      <c r="K77" s="8">
        <f t="shared" si="5"/>
        <v>56081.268613286753</v>
      </c>
      <c r="L77" s="8">
        <f t="shared" si="6"/>
        <v>0.89843756286582876</v>
      </c>
      <c r="M77" s="7">
        <f t="shared" si="9"/>
        <v>96172.894400000005</v>
      </c>
      <c r="N77" s="7">
        <f t="shared" si="7"/>
        <v>-8.9439999999999991</v>
      </c>
      <c r="O77" s="8">
        <f t="shared" si="8"/>
        <v>4.3650000000000001E-2</v>
      </c>
      <c r="P77" s="9">
        <v>1.7</v>
      </c>
    </row>
    <row r="78" spans="1:16">
      <c r="A78" s="3" t="s">
        <v>84</v>
      </c>
      <c r="B78" s="2">
        <v>77070</v>
      </c>
      <c r="C78" s="5">
        <v>2.63</v>
      </c>
      <c r="D78" s="5">
        <v>236.06665000000001</v>
      </c>
      <c r="E78" s="5">
        <v>6.425519722222222</v>
      </c>
      <c r="F78" s="5">
        <v>134.66</v>
      </c>
      <c r="G78" s="5">
        <v>44.14</v>
      </c>
      <c r="H78" s="5">
        <v>44.54</v>
      </c>
      <c r="I78" s="5"/>
      <c r="K78" s="8">
        <f t="shared" si="5"/>
        <v>56656.075048234081</v>
      </c>
      <c r="L78" s="8">
        <f t="shared" si="6"/>
        <v>0.90340838947517843</v>
      </c>
      <c r="M78" s="7">
        <f t="shared" si="9"/>
        <v>23132.257224999998</v>
      </c>
      <c r="N78" s="7">
        <f t="shared" si="7"/>
        <v>4.4139999999999997</v>
      </c>
      <c r="O78" s="8">
        <f t="shared" si="8"/>
        <v>4.4539999999999996E-2</v>
      </c>
      <c r="P78" s="9">
        <v>2.9</v>
      </c>
    </row>
    <row r="79" spans="1:16">
      <c r="A79" s="3" t="s">
        <v>85</v>
      </c>
      <c r="B79" s="2">
        <v>80763</v>
      </c>
      <c r="C79" s="5">
        <v>1.06</v>
      </c>
      <c r="D79" s="5">
        <v>247.35195000000002</v>
      </c>
      <c r="E79" s="5">
        <v>-26.43194611111111</v>
      </c>
      <c r="F79" s="5">
        <v>-10.16</v>
      </c>
      <c r="G79" s="5">
        <v>-23.21</v>
      </c>
      <c r="H79" s="5">
        <v>5.4</v>
      </c>
      <c r="I79" s="5"/>
      <c r="K79" s="8">
        <f t="shared" si="5"/>
        <v>59364.461381455207</v>
      </c>
      <c r="L79" s="8">
        <f t="shared" si="6"/>
        <v>-7.5640511973276578E-2</v>
      </c>
      <c r="M79" s="7">
        <f t="shared" si="9"/>
        <v>-95155.209087499999</v>
      </c>
      <c r="N79" s="7">
        <f t="shared" si="7"/>
        <v>-2.3210000000000002</v>
      </c>
      <c r="O79" s="8">
        <f t="shared" si="8"/>
        <v>5.4000000000000003E-3</v>
      </c>
      <c r="P79" s="9">
        <v>-3.2</v>
      </c>
    </row>
    <row r="80" spans="1:16">
      <c r="A80" s="3" t="s">
        <v>86</v>
      </c>
      <c r="B80" s="2">
        <v>82273</v>
      </c>
      <c r="C80" s="5">
        <v>1.91</v>
      </c>
      <c r="D80" s="5">
        <v>252.16610833333331</v>
      </c>
      <c r="E80" s="5">
        <v>-69.027635000000004</v>
      </c>
      <c r="F80" s="5">
        <v>17.850000000000001</v>
      </c>
      <c r="G80" s="5">
        <v>-32.92</v>
      </c>
      <c r="H80" s="5">
        <v>7.85</v>
      </c>
      <c r="I80" s="5"/>
      <c r="K80" s="8">
        <f t="shared" si="5"/>
        <v>60519.895091889768</v>
      </c>
      <c r="L80" s="8">
        <f t="shared" si="6"/>
        <v>0.33247874027609076</v>
      </c>
      <c r="M80" s="7">
        <f t="shared" si="9"/>
        <v>-248499.77405000001</v>
      </c>
      <c r="N80" s="7">
        <f t="shared" si="7"/>
        <v>-3.2920000000000003</v>
      </c>
      <c r="O80" s="8">
        <f t="shared" si="8"/>
        <v>7.8499999999999993E-3</v>
      </c>
      <c r="P80" s="9">
        <v>-3.6</v>
      </c>
    </row>
    <row r="81" spans="1:16">
      <c r="A81" s="3" t="s">
        <v>87</v>
      </c>
      <c r="B81" s="2">
        <v>82396</v>
      </c>
      <c r="C81" s="5">
        <v>2.29</v>
      </c>
      <c r="D81" s="5">
        <v>252.5426875</v>
      </c>
      <c r="E81" s="5">
        <v>-34.292609722222224</v>
      </c>
      <c r="F81" s="5">
        <v>-611.83000000000004</v>
      </c>
      <c r="G81" s="5">
        <v>-255.87</v>
      </c>
      <c r="H81" s="5">
        <v>49.85</v>
      </c>
      <c r="I81" s="5"/>
      <c r="K81" s="8">
        <f t="shared" si="5"/>
        <v>60609.813006085147</v>
      </c>
      <c r="L81" s="8">
        <f t="shared" si="6"/>
        <v>-4.9370733126288417</v>
      </c>
      <c r="M81" s="7">
        <f t="shared" si="9"/>
        <v>-123455.63386250001</v>
      </c>
      <c r="N81" s="7">
        <f t="shared" si="7"/>
        <v>-25.587</v>
      </c>
      <c r="O81" s="8">
        <f t="shared" si="8"/>
        <v>4.9849999999999998E-2</v>
      </c>
      <c r="P81" s="9">
        <v>-2.5</v>
      </c>
    </row>
    <row r="82" spans="1:16">
      <c r="A82" s="3" t="s">
        <v>88</v>
      </c>
      <c r="B82" s="2">
        <v>84012</v>
      </c>
      <c r="C82" s="5">
        <v>2.4300000000000002</v>
      </c>
      <c r="D82" s="5">
        <v>257.594425</v>
      </c>
      <c r="E82" s="5">
        <v>-15.7251475</v>
      </c>
      <c r="F82" s="5">
        <v>41.16</v>
      </c>
      <c r="G82" s="5">
        <v>97.65</v>
      </c>
      <c r="H82" s="5">
        <v>38.770000000000003</v>
      </c>
      <c r="I82" s="5"/>
      <c r="K82" s="8">
        <f t="shared" si="5"/>
        <v>61822.686943565692</v>
      </c>
      <c r="L82" s="8">
        <f t="shared" si="6"/>
        <v>0.28506932220163428</v>
      </c>
      <c r="M82" s="7">
        <f t="shared" si="9"/>
        <v>-56609.676562500004</v>
      </c>
      <c r="N82" s="7">
        <f t="shared" si="7"/>
        <v>9.7650000000000006</v>
      </c>
      <c r="O82" s="8">
        <f t="shared" si="8"/>
        <v>3.8770000000000006E-2</v>
      </c>
      <c r="P82" s="9"/>
    </row>
    <row r="83" spans="1:16">
      <c r="A83" s="3" t="s">
        <v>89</v>
      </c>
      <c r="B83" s="2">
        <v>84345</v>
      </c>
      <c r="C83" s="5">
        <v>2.78</v>
      </c>
      <c r="D83" s="5">
        <v>258.661925</v>
      </c>
      <c r="E83" s="5">
        <v>14.390253055555556</v>
      </c>
      <c r="F83" s="5">
        <v>-6.71</v>
      </c>
      <c r="G83" s="5">
        <v>32.78</v>
      </c>
      <c r="H83" s="5">
        <v>8.5299999999999994</v>
      </c>
      <c r="I83" s="5"/>
      <c r="K83" s="8">
        <f t="shared" si="5"/>
        <v>62078.857959050372</v>
      </c>
      <c r="L83" s="8">
        <f t="shared" si="6"/>
        <v>-4.6182281479880211E-2</v>
      </c>
      <c r="M83" s="7">
        <f t="shared" si="9"/>
        <v>51805.197825000003</v>
      </c>
      <c r="N83" s="7">
        <f t="shared" si="7"/>
        <v>3.278</v>
      </c>
      <c r="O83" s="8">
        <f t="shared" si="8"/>
        <v>8.5299999999999994E-3</v>
      </c>
      <c r="P83" s="9"/>
    </row>
    <row r="84" spans="1:16">
      <c r="A84" s="3" t="s">
        <v>90</v>
      </c>
      <c r="B84" s="2">
        <v>85927</v>
      </c>
      <c r="C84" s="5">
        <v>1.62</v>
      </c>
      <c r="D84" s="5">
        <v>263.40219166666668</v>
      </c>
      <c r="E84" s="5">
        <v>-37.103748333333336</v>
      </c>
      <c r="F84" s="5">
        <v>-8.9</v>
      </c>
      <c r="G84" s="5">
        <v>-29.95</v>
      </c>
      <c r="H84" s="5">
        <v>4.6399999999999997</v>
      </c>
      <c r="I84" s="5"/>
      <c r="K84" s="8">
        <f t="shared" si="5"/>
        <v>63216.519490436091</v>
      </c>
      <c r="L84" s="8">
        <f t="shared" si="6"/>
        <v>-7.439501614322333E-2</v>
      </c>
      <c r="M84" s="7">
        <f t="shared" si="9"/>
        <v>-133573.7560625</v>
      </c>
      <c r="N84" s="7">
        <f t="shared" si="7"/>
        <v>-2.9950000000000001</v>
      </c>
      <c r="O84" s="8">
        <f t="shared" si="8"/>
        <v>4.64E-3</v>
      </c>
      <c r="P84" s="9">
        <v>0</v>
      </c>
    </row>
    <row r="85" spans="1:16">
      <c r="A85" s="3" t="s">
        <v>91</v>
      </c>
      <c r="B85" s="2">
        <v>86032</v>
      </c>
      <c r="C85" s="5">
        <v>2.08</v>
      </c>
      <c r="D85" s="5">
        <v>263.73335416666669</v>
      </c>
      <c r="E85" s="5">
        <v>12.560575833333333</v>
      </c>
      <c r="F85" s="5">
        <v>110.08</v>
      </c>
      <c r="G85" s="5">
        <v>-222.61</v>
      </c>
      <c r="H85" s="5">
        <v>69.84</v>
      </c>
      <c r="I85" s="5"/>
      <c r="K85" s="8">
        <f t="shared" si="5"/>
        <v>63296.070787858414</v>
      </c>
      <c r="L85" s="8">
        <f t="shared" si="6"/>
        <v>0.75186123896136614</v>
      </c>
      <c r="M85" s="7">
        <f t="shared" si="9"/>
        <v>45216.125162499993</v>
      </c>
      <c r="N85" s="7">
        <f t="shared" si="7"/>
        <v>-22.261000000000003</v>
      </c>
      <c r="O85" s="8">
        <f t="shared" si="8"/>
        <v>6.9839999999999999E-2</v>
      </c>
      <c r="P85" s="9">
        <v>12.7</v>
      </c>
    </row>
    <row r="86" spans="1:16">
      <c r="A86" s="3" t="s">
        <v>92</v>
      </c>
      <c r="B86" s="2">
        <v>86228</v>
      </c>
      <c r="C86" s="5">
        <v>1.86</v>
      </c>
      <c r="D86" s="5">
        <v>264.32969166666669</v>
      </c>
      <c r="E86" s="5">
        <v>-42.997821666666667</v>
      </c>
      <c r="F86" s="5">
        <v>6.06</v>
      </c>
      <c r="G86" s="5">
        <v>-0.95</v>
      </c>
      <c r="H86" s="5">
        <v>11.99</v>
      </c>
      <c r="I86" s="5"/>
      <c r="K86" s="8">
        <f t="shared" si="5"/>
        <v>63439.130833331226</v>
      </c>
      <c r="L86" s="8">
        <f t="shared" si="6"/>
        <v>5.5238071092315801E-2</v>
      </c>
      <c r="M86" s="7">
        <f t="shared" si="9"/>
        <v>-154792.16631249999</v>
      </c>
      <c r="N86" s="7">
        <f t="shared" si="7"/>
        <v>-9.5000000000000001E-2</v>
      </c>
      <c r="O86" s="8">
        <f t="shared" si="8"/>
        <v>1.1990000000000001E-2</v>
      </c>
      <c r="P86" s="9">
        <v>1.4</v>
      </c>
    </row>
    <row r="87" spans="1:16">
      <c r="A87" s="3" t="s">
        <v>93</v>
      </c>
      <c r="B87" s="2">
        <v>87833</v>
      </c>
      <c r="C87" s="5">
        <v>2.2400000000000002</v>
      </c>
      <c r="D87" s="5">
        <v>269.15157499999998</v>
      </c>
      <c r="E87" s="5">
        <v>51.488951111111113</v>
      </c>
      <c r="F87" s="5">
        <v>-8.52</v>
      </c>
      <c r="G87" s="5">
        <v>-23.05</v>
      </c>
      <c r="H87" s="5">
        <v>22.1</v>
      </c>
      <c r="I87" s="5"/>
      <c r="K87" s="8">
        <f t="shared" si="5"/>
        <v>64596.370018186877</v>
      </c>
      <c r="L87" s="8">
        <f t="shared" si="6"/>
        <v>-9.1220721388873674E-2</v>
      </c>
      <c r="M87" s="7">
        <f t="shared" si="9"/>
        <v>185360.02231250002</v>
      </c>
      <c r="N87" s="7">
        <f t="shared" si="7"/>
        <v>-2.3050000000000002</v>
      </c>
      <c r="O87" s="8">
        <f t="shared" si="8"/>
        <v>2.2100000000000002E-2</v>
      </c>
      <c r="P87" s="9">
        <v>-27.6</v>
      </c>
    </row>
    <row r="88" spans="1:16">
      <c r="A88" s="3" t="s">
        <v>94</v>
      </c>
      <c r="B88" s="2">
        <v>90185</v>
      </c>
      <c r="C88" s="5">
        <v>1.79</v>
      </c>
      <c r="D88" s="5">
        <v>276.04310833333329</v>
      </c>
      <c r="E88" s="5">
        <v>-34.384314722222221</v>
      </c>
      <c r="F88" s="5">
        <v>-39.61</v>
      </c>
      <c r="G88" s="5">
        <v>-124.05</v>
      </c>
      <c r="H88" s="5">
        <v>22.55</v>
      </c>
      <c r="I88" s="5"/>
      <c r="K88" s="8">
        <f t="shared" si="5"/>
        <v>66250.318002028886</v>
      </c>
      <c r="L88" s="8">
        <f t="shared" si="6"/>
        <v>-0.3199768126774567</v>
      </c>
      <c r="M88" s="7">
        <f t="shared" si="9"/>
        <v>-123784.6184375</v>
      </c>
      <c r="N88" s="7">
        <f t="shared" si="7"/>
        <v>-12.404999999999999</v>
      </c>
      <c r="O88" s="8">
        <f t="shared" si="8"/>
        <v>2.2550000000000001E-2</v>
      </c>
      <c r="P88" s="9">
        <v>-11</v>
      </c>
    </row>
    <row r="89" spans="1:16">
      <c r="A89" s="3" t="s">
        <v>95</v>
      </c>
      <c r="B89" s="2">
        <v>91262</v>
      </c>
      <c r="C89" s="5">
        <v>0.03</v>
      </c>
      <c r="D89" s="5">
        <v>279.23410833333332</v>
      </c>
      <c r="E89" s="5">
        <v>38.782993055555558</v>
      </c>
      <c r="F89" s="5">
        <v>201.02</v>
      </c>
      <c r="G89" s="5">
        <v>287.45999999999998</v>
      </c>
      <c r="H89" s="5">
        <v>128.93</v>
      </c>
      <c r="I89" s="5"/>
      <c r="K89" s="8">
        <f t="shared" si="5"/>
        <v>67016.336427284026</v>
      </c>
      <c r="L89" s="8">
        <f t="shared" si="6"/>
        <v>1.7191689603082048</v>
      </c>
      <c r="M89" s="7">
        <f t="shared" si="9"/>
        <v>139621.29027500001</v>
      </c>
      <c r="N89" s="7">
        <f t="shared" si="7"/>
        <v>28.745999999999999</v>
      </c>
      <c r="O89" s="8">
        <f t="shared" si="8"/>
        <v>0.12893000000000002</v>
      </c>
      <c r="P89" s="9">
        <v>-13.9</v>
      </c>
    </row>
    <row r="90" spans="1:16">
      <c r="A90" s="3" t="s">
        <v>96</v>
      </c>
      <c r="B90" s="2">
        <v>92855</v>
      </c>
      <c r="C90" s="5">
        <v>2.0499999999999998</v>
      </c>
      <c r="D90" s="5">
        <v>283.81632083333329</v>
      </c>
      <c r="E90" s="5">
        <v>-26.296594166666665</v>
      </c>
      <c r="F90" s="5">
        <v>13.87</v>
      </c>
      <c r="G90" s="5">
        <v>-52.65</v>
      </c>
      <c r="H90" s="5">
        <v>14.54</v>
      </c>
      <c r="I90" s="5"/>
      <c r="K90" s="8">
        <f t="shared" si="5"/>
        <v>68115.92602478317</v>
      </c>
      <c r="L90" s="8">
        <f t="shared" si="6"/>
        <v>0.10314037919399897</v>
      </c>
      <c r="M90" s="7">
        <f t="shared" si="9"/>
        <v>-94668.199687500004</v>
      </c>
      <c r="N90" s="7">
        <f t="shared" si="7"/>
        <v>-5.2649999999999997</v>
      </c>
      <c r="O90" s="8">
        <f t="shared" si="8"/>
        <v>1.4539999999999999E-2</v>
      </c>
      <c r="P90" s="9">
        <v>-11</v>
      </c>
    </row>
    <row r="91" spans="1:16">
      <c r="A91" s="3" t="s">
        <v>97</v>
      </c>
      <c r="B91" s="2">
        <v>97649</v>
      </c>
      <c r="C91" s="5">
        <v>0.76</v>
      </c>
      <c r="D91" s="5">
        <v>297.69450833333332</v>
      </c>
      <c r="E91" s="5">
        <v>8.8673850000000005</v>
      </c>
      <c r="F91" s="5">
        <v>536.82000000000005</v>
      </c>
      <c r="G91" s="5">
        <v>385.54</v>
      </c>
      <c r="H91" s="5">
        <v>194.44</v>
      </c>
      <c r="I91" s="5"/>
      <c r="K91" s="8">
        <f t="shared" si="5"/>
        <v>71446.99893305586</v>
      </c>
      <c r="L91" s="8">
        <f t="shared" si="6"/>
        <v>3.6220920669420096</v>
      </c>
      <c r="M91" s="7">
        <f t="shared" si="9"/>
        <v>31925.959475000003</v>
      </c>
      <c r="N91" s="7">
        <f t="shared" si="7"/>
        <v>38.554000000000002</v>
      </c>
      <c r="O91" s="8">
        <f t="shared" si="8"/>
        <v>0.19444</v>
      </c>
      <c r="P91" s="9">
        <v>-26.3</v>
      </c>
    </row>
    <row r="92" spans="1:16">
      <c r="A92" s="2" t="s">
        <v>98</v>
      </c>
      <c r="B92" s="2">
        <v>100453</v>
      </c>
      <c r="C92" s="5">
        <v>2.23</v>
      </c>
      <c r="D92" s="5">
        <v>305.55708333333331</v>
      </c>
      <c r="E92" s="5">
        <v>40.256681388888886</v>
      </c>
      <c r="F92" s="5">
        <v>2.4300000000000002</v>
      </c>
      <c r="G92" s="5">
        <v>-0.93</v>
      </c>
      <c r="H92" s="5">
        <v>2.14</v>
      </c>
      <c r="I92" s="5"/>
      <c r="K92" s="8">
        <f t="shared" si="5"/>
        <v>73333.701857415683</v>
      </c>
      <c r="L92" s="8">
        <f t="shared" si="6"/>
        <v>2.1227607794625701E-2</v>
      </c>
      <c r="M92" s="7">
        <f t="shared" si="9"/>
        <v>144924.04486249998</v>
      </c>
      <c r="N92" s="7">
        <f t="shared" si="7"/>
        <v>-9.2999999999999999E-2</v>
      </c>
      <c r="O92" s="8">
        <f t="shared" si="8"/>
        <v>2.14E-3</v>
      </c>
      <c r="P92" s="9">
        <v>-7.5</v>
      </c>
    </row>
    <row r="93" spans="1:16">
      <c r="A93" s="2" t="s">
        <v>99</v>
      </c>
      <c r="B93" s="2">
        <v>100751</v>
      </c>
      <c r="C93" s="5">
        <v>1.94</v>
      </c>
      <c r="D93" s="5">
        <v>306.41187500000001</v>
      </c>
      <c r="E93" s="5">
        <v>-56.734880833333335</v>
      </c>
      <c r="F93" s="5">
        <v>7.71</v>
      </c>
      <c r="G93" s="5">
        <v>-86.15</v>
      </c>
      <c r="H93" s="5">
        <v>17.8</v>
      </c>
      <c r="I93" s="5"/>
      <c r="K93" s="8">
        <f t="shared" si="5"/>
        <v>73538.858199427748</v>
      </c>
      <c r="L93" s="8">
        <f t="shared" si="6"/>
        <v>9.3707745660563779E-2</v>
      </c>
      <c r="M93" s="7">
        <f t="shared" si="9"/>
        <v>-204246.32481250001</v>
      </c>
      <c r="N93" s="7">
        <f t="shared" si="7"/>
        <v>-8.6150000000000002</v>
      </c>
      <c r="O93" s="8">
        <f t="shared" si="8"/>
        <v>1.78E-2</v>
      </c>
      <c r="P93" s="9">
        <v>2</v>
      </c>
    </row>
    <row r="94" spans="1:16">
      <c r="A94" s="2" t="s">
        <v>100</v>
      </c>
      <c r="B94" s="2">
        <v>102098</v>
      </c>
      <c r="C94" s="5">
        <v>1.25</v>
      </c>
      <c r="D94" s="5">
        <v>310.35797083333335</v>
      </c>
      <c r="E94" s="5">
        <v>45.28033416666667</v>
      </c>
      <c r="F94" s="5">
        <v>1.56</v>
      </c>
      <c r="G94" s="5">
        <v>1.55</v>
      </c>
      <c r="H94" s="5">
        <v>1.01</v>
      </c>
      <c r="I94" s="5"/>
      <c r="K94" s="8">
        <f t="shared" si="5"/>
        <v>74485.914293277485</v>
      </c>
      <c r="L94" s="8">
        <f t="shared" si="6"/>
        <v>1.4780314117274054E-2</v>
      </c>
      <c r="M94" s="7">
        <f t="shared" si="9"/>
        <v>163009.21656250002</v>
      </c>
      <c r="N94" s="7">
        <f t="shared" si="7"/>
        <v>0.155</v>
      </c>
      <c r="O94" s="8">
        <f t="shared" si="8"/>
        <v>1.01E-3</v>
      </c>
      <c r="P94" s="9">
        <v>-4.5999999999999996</v>
      </c>
    </row>
    <row r="95" spans="1:16">
      <c r="A95" s="2" t="s">
        <v>101</v>
      </c>
      <c r="B95" s="2">
        <v>105199</v>
      </c>
      <c r="C95" s="5">
        <v>2.4500000000000002</v>
      </c>
      <c r="D95" s="5">
        <v>319.64409166666667</v>
      </c>
      <c r="E95" s="5">
        <v>62.585455277777776</v>
      </c>
      <c r="F95" s="5">
        <v>149.91</v>
      </c>
      <c r="G95" s="5">
        <v>48.27</v>
      </c>
      <c r="H95" s="5">
        <v>66.84</v>
      </c>
      <c r="I95" s="5"/>
      <c r="K95" s="8">
        <f t="shared" si="5"/>
        <v>76714.771927724374</v>
      </c>
      <c r="L95" s="8">
        <f t="shared" si="6"/>
        <v>2.170602564309684</v>
      </c>
      <c r="M95" s="7">
        <f t="shared" si="9"/>
        <v>225308.06136249998</v>
      </c>
      <c r="N95" s="7">
        <f t="shared" si="7"/>
        <v>4.827</v>
      </c>
      <c r="O95" s="8">
        <f t="shared" si="8"/>
        <v>6.6839999999999997E-2</v>
      </c>
      <c r="P95" s="9">
        <v>-10</v>
      </c>
    </row>
    <row r="96" spans="1:16">
      <c r="A96" s="2" t="s">
        <v>102</v>
      </c>
      <c r="B96" s="2">
        <v>107315</v>
      </c>
      <c r="C96" s="5">
        <v>2.38</v>
      </c>
      <c r="D96" s="5">
        <v>326.04641666666669</v>
      </c>
      <c r="E96" s="5">
        <v>9.8750077777777783</v>
      </c>
      <c r="F96" s="5">
        <v>30.02</v>
      </c>
      <c r="G96" s="5">
        <v>1.38</v>
      </c>
      <c r="H96" s="5">
        <v>4.8499999999999996</v>
      </c>
      <c r="I96" s="5"/>
      <c r="K96" s="8">
        <f t="shared" si="5"/>
        <v>78251.157775017287</v>
      </c>
      <c r="L96" s="8">
        <f t="shared" si="6"/>
        <v>0.20314305465294255</v>
      </c>
      <c r="M96" s="7">
        <f t="shared" si="9"/>
        <v>35550.040074999997</v>
      </c>
      <c r="N96" s="7">
        <f t="shared" si="7"/>
        <v>0.13799999999999998</v>
      </c>
      <c r="O96" s="8">
        <f t="shared" si="8"/>
        <v>4.8499999999999993E-3</v>
      </c>
      <c r="P96" s="9">
        <v>4.7</v>
      </c>
    </row>
    <row r="97" spans="1:16">
      <c r="A97" s="2" t="s">
        <v>103</v>
      </c>
      <c r="B97" s="2">
        <v>107556</v>
      </c>
      <c r="C97" s="5">
        <v>2.85</v>
      </c>
      <c r="D97" s="5">
        <v>326.75952083333334</v>
      </c>
      <c r="E97" s="5">
        <v>-16.126565833333334</v>
      </c>
      <c r="F97" s="5">
        <v>263.26</v>
      </c>
      <c r="G97" s="5">
        <v>-296.23</v>
      </c>
      <c r="H97" s="5">
        <v>84.58</v>
      </c>
      <c r="I97" s="5"/>
      <c r="K97" s="8">
        <f t="shared" si="5"/>
        <v>78422.444858697825</v>
      </c>
      <c r="L97" s="8">
        <f t="shared" si="6"/>
        <v>1.8269565465973958</v>
      </c>
      <c r="M97" s="7">
        <f t="shared" si="9"/>
        <v>-58058.2290125</v>
      </c>
      <c r="N97" s="7">
        <f t="shared" si="7"/>
        <v>-29.623000000000001</v>
      </c>
      <c r="O97" s="8">
        <f t="shared" si="8"/>
        <v>8.4580000000000002E-2</v>
      </c>
      <c r="P97" s="9">
        <v>-6.3</v>
      </c>
    </row>
    <row r="98" spans="1:16">
      <c r="A98" s="2" t="s">
        <v>104</v>
      </c>
      <c r="B98" s="2">
        <v>109268</v>
      </c>
      <c r="C98" s="5">
        <v>1.73</v>
      </c>
      <c r="D98" s="5">
        <v>332.05781666666667</v>
      </c>
      <c r="E98" s="5">
        <v>-46.960615833333335</v>
      </c>
      <c r="F98" s="5">
        <v>127.6</v>
      </c>
      <c r="G98" s="5">
        <v>-147.91</v>
      </c>
      <c r="H98" s="5">
        <v>32.159999999999997</v>
      </c>
      <c r="I98" s="5"/>
      <c r="K98" s="8">
        <f t="shared" si="5"/>
        <v>79693.985059682163</v>
      </c>
      <c r="L98" s="8">
        <f t="shared" si="6"/>
        <v>1.2463963675839915</v>
      </c>
      <c r="M98" s="7">
        <f t="shared" si="9"/>
        <v>-169059.51121250002</v>
      </c>
      <c r="N98" s="7">
        <f t="shared" si="7"/>
        <v>-14.791</v>
      </c>
      <c r="O98" s="8">
        <f t="shared" si="8"/>
        <v>3.2159999999999994E-2</v>
      </c>
      <c r="P98" s="9">
        <v>11.8</v>
      </c>
    </row>
    <row r="99" spans="1:16">
      <c r="A99" s="2" t="s">
        <v>105</v>
      </c>
      <c r="B99" s="2">
        <v>112122</v>
      </c>
      <c r="C99" s="5">
        <v>2.0699999999999998</v>
      </c>
      <c r="D99" s="5">
        <v>340.6663958333333</v>
      </c>
      <c r="E99" s="5">
        <v>-46.884565833333333</v>
      </c>
      <c r="F99" s="5">
        <v>135.68</v>
      </c>
      <c r="G99" s="5">
        <v>-4.51</v>
      </c>
      <c r="H99" s="5">
        <v>19.170000000000002</v>
      </c>
      <c r="I99" s="5"/>
      <c r="K99" s="8">
        <f t="shared" si="5"/>
        <v>81760.050801155812</v>
      </c>
      <c r="L99" s="8">
        <f t="shared" si="6"/>
        <v>1.3234417807519878</v>
      </c>
      <c r="M99" s="7">
        <f t="shared" si="9"/>
        <v>-168784.4764625</v>
      </c>
      <c r="N99" s="7">
        <f t="shared" si="7"/>
        <v>-0.45099999999999996</v>
      </c>
      <c r="O99" s="8">
        <f t="shared" si="8"/>
        <v>1.9170000000000003E-2</v>
      </c>
      <c r="P99" s="9">
        <v>1.6</v>
      </c>
    </row>
    <row r="100" spans="1:16">
      <c r="A100" s="2" t="s">
        <v>106</v>
      </c>
      <c r="B100" s="2">
        <v>113368</v>
      </c>
      <c r="C100" s="5">
        <v>1.17</v>
      </c>
      <c r="D100" s="5">
        <v>344.41177500000003</v>
      </c>
      <c r="E100" s="5">
        <v>-29.621836944444446</v>
      </c>
      <c r="F100" s="5">
        <v>329.22</v>
      </c>
      <c r="G100" s="5">
        <v>-164.22</v>
      </c>
      <c r="H100" s="5">
        <v>130.08000000000001</v>
      </c>
      <c r="I100" s="5"/>
      <c r="K100" s="8">
        <f t="shared" si="5"/>
        <v>82659.046917450018</v>
      </c>
      <c r="L100" s="8">
        <f t="shared" si="6"/>
        <v>2.5247708573007581</v>
      </c>
      <c r="M100" s="7">
        <f t="shared" si="9"/>
        <v>-106640.04992500001</v>
      </c>
      <c r="N100" s="7">
        <f t="shared" si="7"/>
        <v>-16.422000000000001</v>
      </c>
      <c r="O100" s="8">
        <f t="shared" si="8"/>
        <v>0.13008</v>
      </c>
      <c r="P100" s="9">
        <v>6.5</v>
      </c>
    </row>
    <row r="101" spans="1:16">
      <c r="A101" s="2" t="s">
        <v>107</v>
      </c>
      <c r="B101" s="2">
        <v>113881</v>
      </c>
      <c r="C101" s="5">
        <v>2.44</v>
      </c>
      <c r="D101" s="5">
        <v>345.94305416666663</v>
      </c>
      <c r="E101" s="5">
        <v>28.082454722222224</v>
      </c>
      <c r="F101" s="5">
        <v>187.76</v>
      </c>
      <c r="G101" s="5">
        <v>137.61000000000001</v>
      </c>
      <c r="H101" s="5">
        <v>16.37</v>
      </c>
      <c r="I101" s="5"/>
      <c r="K101" s="8">
        <f t="shared" si="5"/>
        <v>83026.457141742503</v>
      </c>
      <c r="L101" s="8">
        <f t="shared" si="6"/>
        <v>1.4187627715885149</v>
      </c>
      <c r="M101" s="7">
        <f t="shared" si="9"/>
        <v>101098.04108749999</v>
      </c>
      <c r="N101" s="7">
        <f t="shared" si="7"/>
        <v>13.761000000000001</v>
      </c>
      <c r="O101" s="8">
        <f t="shared" si="8"/>
        <v>1.6370000000000003E-2</v>
      </c>
      <c r="P101" s="9">
        <v>8.6999999999999993</v>
      </c>
    </row>
    <row r="102" spans="1:16">
      <c r="A102" s="2" t="s">
        <v>108</v>
      </c>
      <c r="B102" s="2">
        <v>113963</v>
      </c>
      <c r="C102" s="5">
        <v>2.4900000000000002</v>
      </c>
      <c r="D102" s="5">
        <v>346.19007083333332</v>
      </c>
      <c r="E102" s="5">
        <v>15.205367777777777</v>
      </c>
      <c r="F102" s="5">
        <v>61.1</v>
      </c>
      <c r="G102" s="5">
        <v>-42.56</v>
      </c>
      <c r="H102" s="5">
        <v>23.36</v>
      </c>
      <c r="I102" s="5"/>
      <c r="K102" s="8">
        <f t="shared" si="5"/>
        <v>83085.653934678587</v>
      </c>
      <c r="L102" s="8">
        <f t="shared" si="6"/>
        <v>0.42211061249476756</v>
      </c>
      <c r="M102" s="7">
        <f t="shared" si="9"/>
        <v>54738.9516</v>
      </c>
      <c r="N102" s="7">
        <f t="shared" si="7"/>
        <v>-4.2560000000000002</v>
      </c>
      <c r="O102" s="8">
        <f t="shared" si="8"/>
        <v>2.3359999999999999E-2</v>
      </c>
      <c r="P102" s="9">
        <v>-3.5</v>
      </c>
    </row>
  </sheetData>
  <pageMargins left="0.70866141732283472" right="0.70866141732283472" top="0.74803149606299213" bottom="0.74803149606299213" header="0.31496062992125984" footer="0.31496062992125984"/>
  <pageSetup paperSize="9" scale="6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02"/>
  <sheetViews>
    <sheetView workbookViewId="0">
      <selection activeCell="I6" sqref="I6"/>
    </sheetView>
  </sheetViews>
  <sheetFormatPr baseColWidth="10" defaultRowHeight="15"/>
  <sheetData>
    <row r="1" spans="1:8">
      <c r="A1" s="10"/>
      <c r="B1" s="12" t="s">
        <v>109</v>
      </c>
      <c r="C1" s="12" t="s">
        <v>110</v>
      </c>
      <c r="D1" s="10"/>
      <c r="E1" s="10"/>
      <c r="F1" s="10"/>
      <c r="G1" s="10"/>
      <c r="H1" s="10"/>
    </row>
    <row r="3" spans="1:8">
      <c r="A3" s="14" t="s">
        <v>111</v>
      </c>
      <c r="B3" s="14" t="s">
        <v>112</v>
      </c>
      <c r="C3" s="14" t="s">
        <v>4</v>
      </c>
      <c r="D3" s="14" t="s">
        <v>5</v>
      </c>
      <c r="E3" s="14" t="s">
        <v>6</v>
      </c>
      <c r="F3" s="14" t="s">
        <v>7</v>
      </c>
      <c r="G3" s="14" t="s">
        <v>8</v>
      </c>
      <c r="H3" s="14" t="s">
        <v>9</v>
      </c>
    </row>
    <row r="4" spans="1:8">
      <c r="A4" s="11">
        <v>1</v>
      </c>
      <c r="B4" s="13">
        <v>2.06</v>
      </c>
      <c r="C4" s="13">
        <v>2.0969380000000002</v>
      </c>
      <c r="D4" s="13">
        <v>29.090439</v>
      </c>
      <c r="E4" s="13">
        <v>136.19999999999999</v>
      </c>
      <c r="F4" s="13">
        <v>-163.30000000000001</v>
      </c>
      <c r="G4" s="13">
        <v>24</v>
      </c>
      <c r="H4" s="13">
        <v>-11.7</v>
      </c>
    </row>
    <row r="5" spans="1:8">
      <c r="A5" s="11">
        <v>2</v>
      </c>
      <c r="B5" s="13">
        <v>2.27</v>
      </c>
      <c r="C5" s="13">
        <v>2.2945630000000001</v>
      </c>
      <c r="D5" s="13">
        <v>59.149771999999999</v>
      </c>
      <c r="E5" s="13">
        <v>525.1</v>
      </c>
      <c r="F5" s="13">
        <v>-180.9</v>
      </c>
      <c r="G5" s="13">
        <v>72</v>
      </c>
      <c r="H5" s="13">
        <v>11.8</v>
      </c>
    </row>
    <row r="6" spans="1:8">
      <c r="A6" s="11">
        <v>7</v>
      </c>
      <c r="B6" s="13">
        <v>2.83</v>
      </c>
      <c r="C6" s="13">
        <v>3.3089750000000002</v>
      </c>
      <c r="D6" s="13">
        <v>15.183555999999999</v>
      </c>
      <c r="E6" s="13">
        <v>2.8</v>
      </c>
      <c r="F6" s="13">
        <v>-12</v>
      </c>
      <c r="G6" s="13">
        <v>0</v>
      </c>
      <c r="H6" s="13">
        <v>4.0999999999999996</v>
      </c>
    </row>
    <row r="7" spans="1:8">
      <c r="A7" s="11">
        <v>12</v>
      </c>
      <c r="B7" s="13">
        <v>2.39</v>
      </c>
      <c r="C7" s="13">
        <v>6.5709580000000001</v>
      </c>
      <c r="D7" s="13">
        <v>-42.306058</v>
      </c>
      <c r="E7" s="13">
        <v>203.3</v>
      </c>
      <c r="F7" s="13">
        <v>-395.7</v>
      </c>
      <c r="G7" s="13">
        <v>35</v>
      </c>
      <c r="H7" s="13">
        <v>74.599999999999994</v>
      </c>
    </row>
    <row r="8" spans="1:8">
      <c r="A8" s="11">
        <v>21</v>
      </c>
      <c r="B8" s="13">
        <v>2.23</v>
      </c>
      <c r="C8" s="13">
        <v>10.126875</v>
      </c>
      <c r="D8" s="13">
        <v>56.537350000000004</v>
      </c>
      <c r="E8" s="13">
        <v>52.6</v>
      </c>
      <c r="F8" s="13">
        <v>-31.9</v>
      </c>
      <c r="G8" s="13">
        <v>9</v>
      </c>
      <c r="H8" s="13">
        <v>-3.8</v>
      </c>
    </row>
    <row r="9" spans="1:8">
      <c r="A9" s="11">
        <v>22</v>
      </c>
      <c r="B9" s="13">
        <v>2.04</v>
      </c>
      <c r="C9" s="13">
        <v>10.897383</v>
      </c>
      <c r="D9" s="13">
        <v>-17.986616999999999</v>
      </c>
      <c r="E9" s="13">
        <v>233.5</v>
      </c>
      <c r="F9" s="13">
        <v>32.5</v>
      </c>
      <c r="G9" s="13">
        <v>57</v>
      </c>
      <c r="H9" s="13">
        <v>13.1</v>
      </c>
    </row>
    <row r="10" spans="1:8">
      <c r="A10" s="11">
        <v>32</v>
      </c>
      <c r="B10" s="13">
        <v>1.6</v>
      </c>
      <c r="C10" s="13">
        <v>14.177187999999999</v>
      </c>
      <c r="D10" s="13">
        <v>60.716718999999998</v>
      </c>
      <c r="E10" s="13">
        <v>26</v>
      </c>
      <c r="F10" s="13">
        <v>-5.3</v>
      </c>
      <c r="G10" s="13">
        <v>34</v>
      </c>
      <c r="H10" s="13">
        <v>-6.8</v>
      </c>
    </row>
    <row r="11" spans="1:8">
      <c r="A11" s="11">
        <v>42</v>
      </c>
      <c r="B11" s="13">
        <v>2.06</v>
      </c>
      <c r="C11" s="13">
        <v>17.433046000000001</v>
      </c>
      <c r="D11" s="13">
        <v>35.620542</v>
      </c>
      <c r="E11" s="13">
        <v>177.7</v>
      </c>
      <c r="F11" s="13">
        <v>-113.5</v>
      </c>
      <c r="G11" s="13">
        <v>43</v>
      </c>
      <c r="H11" s="13">
        <v>0.3</v>
      </c>
    </row>
    <row r="12" spans="1:8">
      <c r="A12" s="11">
        <v>54</v>
      </c>
      <c r="B12" s="13">
        <v>0.46</v>
      </c>
      <c r="C12" s="13">
        <v>24.428550000000001</v>
      </c>
      <c r="D12" s="13">
        <v>-57.236716999999999</v>
      </c>
      <c r="E12" s="13">
        <v>95.2</v>
      </c>
      <c r="F12" s="13">
        <v>-34.700000000000003</v>
      </c>
      <c r="G12" s="13">
        <v>23</v>
      </c>
      <c r="H12" s="13">
        <v>19</v>
      </c>
    </row>
    <row r="13" spans="1:8">
      <c r="A13" s="11">
        <v>73</v>
      </c>
      <c r="B13" s="13">
        <v>2.2599999999999998</v>
      </c>
      <c r="C13" s="13">
        <v>30.974845999999999</v>
      </c>
      <c r="D13" s="13">
        <v>42.329718999999997</v>
      </c>
      <c r="E13" s="13">
        <v>44.8</v>
      </c>
      <c r="F13" s="13">
        <v>-51.7</v>
      </c>
      <c r="G13" s="13">
        <v>5</v>
      </c>
      <c r="H13" s="13">
        <v>-11.7</v>
      </c>
    </row>
    <row r="14" spans="1:8">
      <c r="A14" s="11">
        <v>74</v>
      </c>
      <c r="B14" s="13">
        <v>2</v>
      </c>
      <c r="C14" s="13">
        <v>31.793346</v>
      </c>
      <c r="D14" s="13">
        <v>23.462406000000001</v>
      </c>
      <c r="E14" s="13">
        <v>190.3</v>
      </c>
      <c r="F14" s="13">
        <v>-148.30000000000001</v>
      </c>
      <c r="G14" s="13">
        <v>43</v>
      </c>
      <c r="H14" s="13">
        <v>-14.3</v>
      </c>
    </row>
    <row r="15" spans="1:8">
      <c r="A15" s="11">
        <v>907</v>
      </c>
      <c r="B15" s="13">
        <v>2.02</v>
      </c>
      <c r="C15" s="13">
        <v>37.952933000000002</v>
      </c>
      <c r="D15" s="13">
        <v>89.264088999999998</v>
      </c>
      <c r="E15" s="13">
        <v>38.299999999999997</v>
      </c>
      <c r="F15" s="13">
        <v>-15.2</v>
      </c>
      <c r="G15" s="13">
        <v>3</v>
      </c>
      <c r="H15" s="13">
        <v>-17.399999999999999</v>
      </c>
    </row>
    <row r="16" spans="1:8">
      <c r="A16" s="11">
        <v>106</v>
      </c>
      <c r="B16" s="13">
        <v>3.25</v>
      </c>
      <c r="C16" s="13">
        <v>44.565399999999997</v>
      </c>
      <c r="D16" s="13">
        <v>-40.304713999999997</v>
      </c>
      <c r="E16" s="13">
        <v>-44.7</v>
      </c>
      <c r="F16" s="13">
        <v>19.399999999999999</v>
      </c>
      <c r="G16" s="13">
        <v>28</v>
      </c>
      <c r="H16" s="13">
        <v>11.9</v>
      </c>
    </row>
    <row r="17" spans="1:8">
      <c r="A17" s="11">
        <v>107</v>
      </c>
      <c r="B17" s="13">
        <v>2.5299999999999998</v>
      </c>
      <c r="C17" s="13">
        <v>45.569887999999999</v>
      </c>
      <c r="D17" s="13">
        <v>4.0897030000000001</v>
      </c>
      <c r="E17" s="13">
        <v>-9.4</v>
      </c>
      <c r="F17" s="13">
        <v>-78</v>
      </c>
      <c r="G17" s="13">
        <v>3</v>
      </c>
      <c r="H17" s="13">
        <v>-25.9</v>
      </c>
    </row>
    <row r="18" spans="1:8">
      <c r="A18" s="11">
        <v>111</v>
      </c>
      <c r="B18" s="13">
        <v>2.1</v>
      </c>
      <c r="C18" s="13">
        <v>47.042212999999997</v>
      </c>
      <c r="D18" s="13">
        <v>40.955674999999999</v>
      </c>
      <c r="E18" s="13">
        <v>3.5</v>
      </c>
      <c r="F18" s="13">
        <v>-0.9</v>
      </c>
      <c r="G18" s="13">
        <v>31</v>
      </c>
      <c r="H18" s="13">
        <v>4</v>
      </c>
    </row>
    <row r="19" spans="1:8">
      <c r="A19" s="11">
        <v>120</v>
      </c>
      <c r="B19" s="13">
        <v>1.79</v>
      </c>
      <c r="C19" s="13">
        <v>51.080688000000002</v>
      </c>
      <c r="D19" s="13">
        <v>49.861206000000003</v>
      </c>
      <c r="E19" s="13">
        <v>23.8</v>
      </c>
      <c r="F19" s="13">
        <v>-24.6</v>
      </c>
      <c r="G19" s="13">
        <v>29</v>
      </c>
      <c r="H19" s="13">
        <v>-2.4</v>
      </c>
    </row>
    <row r="20" spans="1:8">
      <c r="A20" s="11">
        <v>139</v>
      </c>
      <c r="B20" s="13">
        <v>2.87</v>
      </c>
      <c r="C20" s="13">
        <v>56.871138000000002</v>
      </c>
      <c r="D20" s="13">
        <v>24.105105999999999</v>
      </c>
      <c r="E20" s="13">
        <v>18.600000000000001</v>
      </c>
      <c r="F20" s="13">
        <v>-46</v>
      </c>
      <c r="G20" s="13">
        <v>5</v>
      </c>
      <c r="H20" s="13">
        <v>10.1</v>
      </c>
    </row>
    <row r="21" spans="1:8">
      <c r="A21" s="11">
        <v>149</v>
      </c>
      <c r="B21" s="13">
        <v>2.95</v>
      </c>
      <c r="C21" s="13">
        <v>59.507345999999998</v>
      </c>
      <c r="D21" s="13">
        <v>-13.508531</v>
      </c>
      <c r="E21" s="13">
        <v>61.3</v>
      </c>
      <c r="F21" s="13">
        <v>-111.4</v>
      </c>
      <c r="G21" s="13">
        <v>3</v>
      </c>
      <c r="H21" s="13">
        <v>61.7</v>
      </c>
    </row>
    <row r="22" spans="1:8">
      <c r="A22" s="11">
        <v>168</v>
      </c>
      <c r="B22" s="13">
        <v>0.85</v>
      </c>
      <c r="C22" s="13">
        <v>68.980153999999999</v>
      </c>
      <c r="D22" s="13">
        <v>16.509274999999999</v>
      </c>
      <c r="E22" s="13">
        <v>63.1</v>
      </c>
      <c r="F22" s="13">
        <v>-189.7</v>
      </c>
      <c r="G22" s="13">
        <v>48</v>
      </c>
      <c r="H22" s="13">
        <v>54.1</v>
      </c>
    </row>
    <row r="23" spans="1:8">
      <c r="A23" s="11">
        <v>194</v>
      </c>
      <c r="B23" s="13">
        <v>0.12</v>
      </c>
      <c r="C23" s="13">
        <v>78.634450000000001</v>
      </c>
      <c r="D23" s="13">
        <v>-8.2016609999999996</v>
      </c>
      <c r="E23" s="13">
        <v>0.4</v>
      </c>
      <c r="F23" s="13">
        <v>-1.3</v>
      </c>
      <c r="G23" s="13">
        <v>0</v>
      </c>
      <c r="H23" s="13">
        <v>20.7</v>
      </c>
    </row>
    <row r="24" spans="1:8">
      <c r="A24" s="11">
        <v>193</v>
      </c>
      <c r="B24" s="13">
        <v>0.08</v>
      </c>
      <c r="C24" s="13">
        <v>79.172303999999997</v>
      </c>
      <c r="D24" s="13">
        <v>45.998027999999998</v>
      </c>
      <c r="E24" s="13">
        <v>75.900000000000006</v>
      </c>
      <c r="F24" s="13">
        <v>-424.7</v>
      </c>
      <c r="G24" s="13">
        <v>73</v>
      </c>
      <c r="H24" s="13">
        <v>30.2</v>
      </c>
    </row>
    <row r="25" spans="1:8">
      <c r="A25" s="11">
        <v>201</v>
      </c>
      <c r="B25" s="13">
        <v>1.64</v>
      </c>
      <c r="C25" s="13">
        <v>81.282737999999995</v>
      </c>
      <c r="D25" s="13">
        <v>6.3496499999999996</v>
      </c>
      <c r="E25" s="13">
        <v>-8.8000000000000007</v>
      </c>
      <c r="F25" s="13">
        <v>-13.9</v>
      </c>
      <c r="G25" s="13">
        <v>26</v>
      </c>
      <c r="H25" s="13">
        <v>18.2</v>
      </c>
    </row>
    <row r="26" spans="1:8">
      <c r="A26" s="11">
        <v>202</v>
      </c>
      <c r="B26" s="13">
        <v>1.65</v>
      </c>
      <c r="C26" s="13">
        <v>81.572963000000001</v>
      </c>
      <c r="D26" s="13">
        <v>28.607408</v>
      </c>
      <c r="E26" s="13">
        <v>22.3</v>
      </c>
      <c r="F26" s="13">
        <v>-175.1</v>
      </c>
      <c r="G26" s="13">
        <v>18</v>
      </c>
      <c r="H26" s="13">
        <v>8</v>
      </c>
    </row>
    <row r="27" spans="1:8">
      <c r="A27" s="11">
        <v>206</v>
      </c>
      <c r="B27" s="13">
        <v>2.23</v>
      </c>
      <c r="C27" s="13">
        <v>83.001658000000006</v>
      </c>
      <c r="D27" s="13">
        <v>-0.29913299999999998</v>
      </c>
      <c r="E27" s="13">
        <v>1.5</v>
      </c>
      <c r="F27" s="13">
        <v>-2.2000000000000002</v>
      </c>
      <c r="G27" s="13">
        <v>4</v>
      </c>
      <c r="H27" s="13">
        <v>16</v>
      </c>
    </row>
    <row r="28" spans="1:8">
      <c r="A28" s="11">
        <v>210</v>
      </c>
      <c r="B28" s="13">
        <v>1.7</v>
      </c>
      <c r="C28" s="13">
        <v>84.053370999999999</v>
      </c>
      <c r="D28" s="13">
        <v>-1.2019500000000001</v>
      </c>
      <c r="E28" s="13">
        <v>0.9</v>
      </c>
      <c r="F28" s="13">
        <v>-2.4</v>
      </c>
      <c r="G28" s="13">
        <v>0</v>
      </c>
      <c r="H28" s="13">
        <v>26.1</v>
      </c>
    </row>
    <row r="29" spans="1:8">
      <c r="A29" s="10"/>
      <c r="B29" s="13"/>
      <c r="C29" s="13"/>
      <c r="D29" s="13"/>
      <c r="E29" s="13"/>
      <c r="F29" s="13"/>
      <c r="G29" s="13"/>
      <c r="H29" s="13"/>
    </row>
    <row r="30" spans="1:8">
      <c r="A30" s="11">
        <v>220</v>
      </c>
      <c r="B30" s="13">
        <v>2.06</v>
      </c>
      <c r="C30" s="13">
        <v>86.939113000000006</v>
      </c>
      <c r="D30" s="13">
        <v>-9.6696530000000003</v>
      </c>
      <c r="E30" s="13">
        <v>1.9</v>
      </c>
      <c r="F30" s="13">
        <v>-2.4</v>
      </c>
      <c r="G30" s="13">
        <v>9</v>
      </c>
      <c r="H30" s="13">
        <v>20.6</v>
      </c>
    </row>
    <row r="31" spans="1:8">
      <c r="A31" s="11">
        <v>224</v>
      </c>
      <c r="B31" s="13">
        <v>0.4</v>
      </c>
      <c r="C31" s="13">
        <v>88.792946000000001</v>
      </c>
      <c r="D31" s="13">
        <v>7.4070419999999997</v>
      </c>
      <c r="E31" s="13">
        <v>25.7</v>
      </c>
      <c r="F31" s="13">
        <v>8.6999999999999993</v>
      </c>
      <c r="G31" s="13">
        <v>5</v>
      </c>
      <c r="H31" s="13">
        <v>21</v>
      </c>
    </row>
    <row r="32" spans="1:8">
      <c r="A32" s="11">
        <v>227</v>
      </c>
      <c r="B32" s="13">
        <v>1.9</v>
      </c>
      <c r="C32" s="13">
        <v>89.882166999999995</v>
      </c>
      <c r="D32" s="13">
        <v>44.947439000000003</v>
      </c>
      <c r="E32" s="13">
        <v>-57.4</v>
      </c>
      <c r="F32" s="13">
        <v>0.3</v>
      </c>
      <c r="G32" s="13">
        <v>37</v>
      </c>
      <c r="H32" s="13">
        <v>-18.2</v>
      </c>
    </row>
    <row r="33" spans="1:8">
      <c r="A33" s="11">
        <v>243</v>
      </c>
      <c r="B33" s="13">
        <v>1.98</v>
      </c>
      <c r="C33" s="13">
        <v>95.674870999999996</v>
      </c>
      <c r="D33" s="13">
        <v>-17.955936000000001</v>
      </c>
      <c r="E33" s="13">
        <v>-6.3</v>
      </c>
      <c r="F33" s="13">
        <v>0.3</v>
      </c>
      <c r="G33" s="13">
        <v>14</v>
      </c>
      <c r="H33" s="13">
        <v>33.700000000000003</v>
      </c>
    </row>
    <row r="34" spans="1:8">
      <c r="A34" s="11">
        <v>245</v>
      </c>
      <c r="B34" s="13">
        <v>-0.72</v>
      </c>
      <c r="C34" s="13">
        <v>95.987995999999995</v>
      </c>
      <c r="D34" s="13">
        <v>-52.695694000000003</v>
      </c>
      <c r="E34" s="13">
        <v>22.3</v>
      </c>
      <c r="F34" s="13">
        <v>20.7</v>
      </c>
      <c r="G34" s="13">
        <v>18</v>
      </c>
      <c r="H34" s="13">
        <v>20.5</v>
      </c>
    </row>
    <row r="35" spans="1:8">
      <c r="A35" s="11">
        <v>251</v>
      </c>
      <c r="B35" s="13">
        <v>1.93</v>
      </c>
      <c r="C35" s="13">
        <v>99.428021000000001</v>
      </c>
      <c r="D35" s="13">
        <v>16.399286</v>
      </c>
      <c r="E35" s="13">
        <v>42.2</v>
      </c>
      <c r="F35" s="13">
        <v>-41.6</v>
      </c>
      <c r="G35" s="13">
        <v>31</v>
      </c>
      <c r="H35" s="13">
        <v>-12.5</v>
      </c>
    </row>
    <row r="36" spans="1:8">
      <c r="A36" s="11">
        <v>257</v>
      </c>
      <c r="B36" s="13">
        <v>-1.46</v>
      </c>
      <c r="C36" s="13">
        <v>101.286963</v>
      </c>
      <c r="D36" s="13">
        <v>-16.716107999999998</v>
      </c>
      <c r="E36" s="13">
        <v>-552.70000000000005</v>
      </c>
      <c r="F36" s="13">
        <v>-1205.3</v>
      </c>
      <c r="G36" s="13">
        <v>375</v>
      </c>
      <c r="H36" s="13">
        <v>-7.6</v>
      </c>
    </row>
    <row r="37" spans="1:8">
      <c r="A37" s="11">
        <v>268</v>
      </c>
      <c r="B37" s="13">
        <v>1.5</v>
      </c>
      <c r="C37" s="13">
        <v>104.65645000000001</v>
      </c>
      <c r="D37" s="13">
        <v>-28.972083000000001</v>
      </c>
      <c r="E37" s="13">
        <v>4.0999999999999996</v>
      </c>
      <c r="F37" s="13">
        <v>2.8</v>
      </c>
      <c r="G37" s="13">
        <v>0</v>
      </c>
      <c r="H37" s="13">
        <v>27.4</v>
      </c>
    </row>
    <row r="38" spans="1:8">
      <c r="A38" s="11">
        <v>273</v>
      </c>
      <c r="B38" s="13">
        <v>1.86</v>
      </c>
      <c r="C38" s="13">
        <v>107.09783299999999</v>
      </c>
      <c r="D38" s="13">
        <v>-26.393208000000001</v>
      </c>
      <c r="E38" s="13">
        <v>-3.2</v>
      </c>
      <c r="F38" s="13">
        <v>4.4000000000000004</v>
      </c>
      <c r="G38" s="13">
        <v>0</v>
      </c>
      <c r="H38" s="13">
        <v>34.299999999999997</v>
      </c>
    </row>
    <row r="39" spans="1:8">
      <c r="A39" s="11">
        <v>283</v>
      </c>
      <c r="B39" s="13">
        <v>2.4500000000000002</v>
      </c>
      <c r="C39" s="13">
        <v>111.023746</v>
      </c>
      <c r="D39" s="13">
        <v>-29.303118999999999</v>
      </c>
      <c r="E39" s="13">
        <v>-4.0999999999999996</v>
      </c>
      <c r="F39" s="13">
        <v>5.3</v>
      </c>
      <c r="G39" s="13">
        <v>0</v>
      </c>
      <c r="H39" s="13">
        <v>41.1</v>
      </c>
    </row>
    <row r="40" spans="1:8">
      <c r="A40" s="11">
        <v>287</v>
      </c>
      <c r="B40" s="13">
        <v>1.95</v>
      </c>
      <c r="C40" s="13">
        <v>113.64998799999999</v>
      </c>
      <c r="D40" s="13">
        <v>31.888480999999999</v>
      </c>
      <c r="E40" s="13">
        <v>-171.6</v>
      </c>
      <c r="F40" s="13">
        <v>-98.7</v>
      </c>
      <c r="G40" s="13">
        <v>72</v>
      </c>
      <c r="H40" s="13">
        <v>6</v>
      </c>
    </row>
    <row r="41" spans="1:8">
      <c r="A41" s="11">
        <v>291</v>
      </c>
      <c r="B41" s="13">
        <v>0.38</v>
      </c>
      <c r="C41" s="13">
        <v>114.82547099999999</v>
      </c>
      <c r="D41" s="13">
        <v>5.2250170000000002</v>
      </c>
      <c r="E41" s="13">
        <v>-710.3</v>
      </c>
      <c r="F41" s="13">
        <v>-1022.9</v>
      </c>
      <c r="G41" s="13">
        <v>288</v>
      </c>
      <c r="H41" s="13">
        <v>-3.2</v>
      </c>
    </row>
    <row r="42" spans="1:8">
      <c r="A42" s="11">
        <v>295</v>
      </c>
      <c r="B42" s="13">
        <v>1.1399999999999999</v>
      </c>
      <c r="C42" s="13">
        <v>116.328942</v>
      </c>
      <c r="D42" s="13">
        <v>28.026183</v>
      </c>
      <c r="E42" s="13">
        <v>-627.6</v>
      </c>
      <c r="F42" s="13">
        <v>-45.9</v>
      </c>
      <c r="G42" s="13">
        <v>93</v>
      </c>
      <c r="H42" s="13">
        <v>3.3</v>
      </c>
    </row>
    <row r="43" spans="1:8">
      <c r="A43" s="11">
        <v>306</v>
      </c>
      <c r="B43" s="13">
        <v>2.25</v>
      </c>
      <c r="C43" s="13">
        <v>120.89605</v>
      </c>
      <c r="D43" s="13">
        <v>-40.003233000000002</v>
      </c>
      <c r="E43" s="13">
        <v>-27.3</v>
      </c>
      <c r="F43" s="13">
        <v>12.1</v>
      </c>
      <c r="G43" s="13">
        <v>0</v>
      </c>
      <c r="H43" s="13">
        <v>-24</v>
      </c>
    </row>
    <row r="44" spans="1:8">
      <c r="A44" s="11">
        <v>309</v>
      </c>
      <c r="B44" s="13">
        <v>1.78</v>
      </c>
      <c r="C44" s="13">
        <v>122.383188</v>
      </c>
      <c r="D44" s="13">
        <v>-47.336641999999998</v>
      </c>
      <c r="E44" s="13">
        <v>-3.8</v>
      </c>
      <c r="F44" s="13">
        <v>6.2</v>
      </c>
      <c r="G44" s="13">
        <v>0</v>
      </c>
      <c r="H44" s="13">
        <v>35</v>
      </c>
    </row>
    <row r="45" spans="1:8">
      <c r="A45" s="11">
        <v>315</v>
      </c>
      <c r="B45" s="13">
        <v>1.86</v>
      </c>
      <c r="C45" s="13">
        <v>125.628471</v>
      </c>
      <c r="D45" s="13">
        <v>-59.509585999999999</v>
      </c>
      <c r="E45" s="13">
        <v>-26.3</v>
      </c>
      <c r="F45" s="13">
        <v>14.4</v>
      </c>
      <c r="G45" s="13">
        <v>0</v>
      </c>
      <c r="H45" s="13">
        <v>11.5</v>
      </c>
    </row>
    <row r="46" spans="1:8">
      <c r="A46" s="10"/>
      <c r="B46" s="13"/>
      <c r="C46" s="13"/>
      <c r="D46" s="13"/>
      <c r="E46" s="13"/>
      <c r="F46" s="13"/>
      <c r="G46" s="13"/>
      <c r="H46" s="13"/>
    </row>
    <row r="47" spans="1:8">
      <c r="A47" s="11">
        <v>334</v>
      </c>
      <c r="B47" s="13">
        <v>3.11</v>
      </c>
      <c r="C47" s="13">
        <v>133.848454</v>
      </c>
      <c r="D47" s="13">
        <v>5.9455220000000004</v>
      </c>
      <c r="E47" s="13">
        <v>-99.2</v>
      </c>
      <c r="F47" s="13">
        <v>14.4</v>
      </c>
      <c r="G47" s="13">
        <v>29</v>
      </c>
      <c r="H47" s="13">
        <v>22.8</v>
      </c>
    </row>
    <row r="48" spans="1:8">
      <c r="A48" s="11">
        <v>345</v>
      </c>
      <c r="B48" s="13">
        <v>2.21</v>
      </c>
      <c r="C48" s="13">
        <v>136.999067</v>
      </c>
      <c r="D48" s="13">
        <v>-43.432606</v>
      </c>
      <c r="E48" s="13">
        <v>-18.7</v>
      </c>
      <c r="F48" s="13">
        <v>12.7</v>
      </c>
      <c r="G48" s="13">
        <v>15</v>
      </c>
      <c r="H48" s="13">
        <v>18.399999999999999</v>
      </c>
    </row>
    <row r="49" spans="1:8">
      <c r="A49" s="11">
        <v>348</v>
      </c>
      <c r="B49" s="13">
        <v>1.68</v>
      </c>
      <c r="C49" s="13">
        <v>138.29982100000001</v>
      </c>
      <c r="D49" s="13">
        <v>-69.717207999999999</v>
      </c>
      <c r="E49" s="13">
        <v>-161.6</v>
      </c>
      <c r="F49" s="13">
        <v>107.8</v>
      </c>
      <c r="G49" s="13">
        <v>38</v>
      </c>
      <c r="H49" s="13">
        <v>-5</v>
      </c>
    </row>
    <row r="50" spans="1:8">
      <c r="A50" s="11">
        <v>351</v>
      </c>
      <c r="B50" s="13">
        <v>2.25</v>
      </c>
      <c r="C50" s="13">
        <v>139.27251699999999</v>
      </c>
      <c r="D50" s="13">
        <v>-59.275289000000001</v>
      </c>
      <c r="E50" s="13">
        <v>-19.899999999999999</v>
      </c>
      <c r="F50" s="13">
        <v>7.8</v>
      </c>
      <c r="G50" s="13">
        <v>0</v>
      </c>
      <c r="H50" s="13">
        <v>13.3</v>
      </c>
    </row>
    <row r="51" spans="1:8">
      <c r="A51" s="11">
        <v>352</v>
      </c>
      <c r="B51" s="13">
        <v>3.13</v>
      </c>
      <c r="C51" s="13">
        <v>140.26376300000001</v>
      </c>
      <c r="D51" s="13">
        <v>34.392552999999999</v>
      </c>
      <c r="E51" s="13">
        <v>-221.4</v>
      </c>
      <c r="F51" s="13">
        <v>18.7</v>
      </c>
      <c r="G51" s="13">
        <v>21</v>
      </c>
      <c r="H51" s="13">
        <v>37.6</v>
      </c>
    </row>
    <row r="52" spans="1:8">
      <c r="A52" s="11">
        <v>354</v>
      </c>
      <c r="B52" s="13">
        <v>1.98</v>
      </c>
      <c r="C52" s="13">
        <v>141.896863</v>
      </c>
      <c r="D52" s="13">
        <v>-8.6586529999999993</v>
      </c>
      <c r="E52" s="13">
        <v>-13.8</v>
      </c>
      <c r="F52" s="13">
        <v>32.799999999999997</v>
      </c>
      <c r="G52" s="13">
        <v>17</v>
      </c>
      <c r="H52" s="13">
        <v>-4.3</v>
      </c>
    </row>
    <row r="53" spans="1:8">
      <c r="A53" s="11">
        <v>380</v>
      </c>
      <c r="B53" s="13">
        <v>1.35</v>
      </c>
      <c r="C53" s="13">
        <v>152.09297900000001</v>
      </c>
      <c r="D53" s="13">
        <v>11.967192000000001</v>
      </c>
      <c r="E53" s="13">
        <v>-248.4</v>
      </c>
      <c r="F53" s="13">
        <v>6.4</v>
      </c>
      <c r="G53" s="13">
        <v>39</v>
      </c>
      <c r="H53" s="13">
        <v>3.5</v>
      </c>
    </row>
    <row r="54" spans="1:8">
      <c r="A54" s="10"/>
      <c r="B54" s="13"/>
      <c r="C54" s="13"/>
      <c r="D54" s="13"/>
      <c r="E54" s="13"/>
      <c r="F54" s="13"/>
      <c r="G54" s="13"/>
      <c r="H54" s="13"/>
    </row>
    <row r="55" spans="1:8">
      <c r="A55" s="11">
        <v>410</v>
      </c>
      <c r="B55" s="13">
        <v>3.11</v>
      </c>
      <c r="C55" s="13">
        <v>162.40622500000001</v>
      </c>
      <c r="D55" s="13">
        <v>-16.193683</v>
      </c>
      <c r="E55" s="13">
        <v>94.2</v>
      </c>
      <c r="F55" s="13">
        <v>200.2</v>
      </c>
      <c r="G55" s="13">
        <v>22</v>
      </c>
      <c r="H55" s="13">
        <v>-1</v>
      </c>
    </row>
    <row r="56" spans="1:8">
      <c r="A56" s="11">
        <v>416</v>
      </c>
      <c r="B56" s="13">
        <v>2.37</v>
      </c>
      <c r="C56" s="13">
        <v>165.460342</v>
      </c>
      <c r="D56" s="13">
        <v>56.382402999999996</v>
      </c>
      <c r="E56" s="13">
        <v>82.1</v>
      </c>
      <c r="F56" s="13">
        <v>34</v>
      </c>
      <c r="G56" s="13">
        <v>42</v>
      </c>
      <c r="H56" s="13">
        <v>-12</v>
      </c>
    </row>
    <row r="57" spans="1:8">
      <c r="A57" s="11">
        <v>417</v>
      </c>
      <c r="B57" s="13">
        <v>1.79</v>
      </c>
      <c r="C57" s="13">
        <v>165.93194199999999</v>
      </c>
      <c r="D57" s="13">
        <v>61.750894000000002</v>
      </c>
      <c r="E57" s="13">
        <v>-118.9</v>
      </c>
      <c r="F57" s="13">
        <v>-66.5</v>
      </c>
      <c r="G57" s="13">
        <v>31</v>
      </c>
      <c r="H57" s="13">
        <v>-8.9</v>
      </c>
    </row>
    <row r="58" spans="1:8">
      <c r="A58" s="11">
        <v>444</v>
      </c>
      <c r="B58" s="13">
        <v>2.14</v>
      </c>
      <c r="C58" s="13">
        <v>177.264917</v>
      </c>
      <c r="D58" s="13">
        <v>14.572042</v>
      </c>
      <c r="E58" s="13">
        <v>-496.8</v>
      </c>
      <c r="F58" s="13">
        <v>-114.1</v>
      </c>
      <c r="G58" s="13">
        <v>76</v>
      </c>
      <c r="H58" s="13">
        <v>-0.1</v>
      </c>
    </row>
    <row r="59" spans="1:8">
      <c r="A59" s="11">
        <v>457</v>
      </c>
      <c r="B59" s="13">
        <v>2.59</v>
      </c>
      <c r="C59" s="13">
        <v>183.951525</v>
      </c>
      <c r="D59" s="13">
        <v>-17.541936</v>
      </c>
      <c r="E59" s="13">
        <v>-160.80000000000001</v>
      </c>
      <c r="F59" s="13">
        <v>23.3</v>
      </c>
      <c r="G59" s="13">
        <v>0</v>
      </c>
      <c r="H59" s="13">
        <v>-4.2</v>
      </c>
    </row>
    <row r="60" spans="1:8">
      <c r="A60" s="11">
        <v>462</v>
      </c>
      <c r="B60" s="13">
        <v>1.33</v>
      </c>
      <c r="C60" s="13">
        <v>186.649463</v>
      </c>
      <c r="D60" s="13">
        <v>-63.099049999999998</v>
      </c>
      <c r="E60" s="13">
        <v>-35.6</v>
      </c>
      <c r="F60" s="13">
        <v>-12.1</v>
      </c>
      <c r="G60" s="13">
        <v>0</v>
      </c>
      <c r="H60" s="13">
        <v>-11.2</v>
      </c>
    </row>
    <row r="61" spans="1:8">
      <c r="A61" s="11">
        <v>468</v>
      </c>
      <c r="B61" s="13">
        <v>1.63</v>
      </c>
      <c r="C61" s="13">
        <v>187.791371</v>
      </c>
      <c r="D61" s="13">
        <v>-57.113194</v>
      </c>
      <c r="E61" s="13">
        <v>23.2</v>
      </c>
      <c r="F61" s="13">
        <v>-262.3</v>
      </c>
      <c r="G61" s="13">
        <v>0</v>
      </c>
      <c r="H61" s="13">
        <v>21.3</v>
      </c>
    </row>
    <row r="62" spans="1:8">
      <c r="A62" s="10"/>
      <c r="B62" s="13"/>
      <c r="C62" s="13"/>
      <c r="D62" s="13"/>
      <c r="E62" s="13"/>
      <c r="F62" s="13"/>
      <c r="G62" s="13"/>
      <c r="H62" s="13"/>
    </row>
    <row r="63" spans="1:8">
      <c r="A63" s="11">
        <v>481</v>
      </c>
      <c r="B63" s="13">
        <v>1.25</v>
      </c>
      <c r="C63" s="13">
        <v>191.93015399999999</v>
      </c>
      <c r="D63" s="13">
        <v>-59.688738999999998</v>
      </c>
      <c r="E63" s="13">
        <v>-47.8</v>
      </c>
      <c r="F63" s="13">
        <v>-13.6</v>
      </c>
      <c r="G63" s="13">
        <v>0</v>
      </c>
      <c r="H63" s="13">
        <v>20</v>
      </c>
    </row>
    <row r="64" spans="1:8">
      <c r="A64" s="11">
        <v>483</v>
      </c>
      <c r="B64" s="13">
        <v>1.77</v>
      </c>
      <c r="C64" s="13">
        <v>193.507283</v>
      </c>
      <c r="D64" s="13">
        <v>55.959853000000003</v>
      </c>
      <c r="E64" s="13">
        <v>111.5</v>
      </c>
      <c r="F64" s="13">
        <v>-5.8</v>
      </c>
      <c r="G64" s="13">
        <v>8</v>
      </c>
      <c r="H64" s="13">
        <v>-9.3000000000000007</v>
      </c>
    </row>
    <row r="65" spans="1:8">
      <c r="A65" s="11">
        <v>485</v>
      </c>
      <c r="B65" s="13">
        <v>2.9</v>
      </c>
      <c r="C65" s="13">
        <v>194.006933</v>
      </c>
      <c r="D65" s="13">
        <v>38.318392000000003</v>
      </c>
      <c r="E65" s="13">
        <v>-233.8</v>
      </c>
      <c r="F65" s="13">
        <v>56.5</v>
      </c>
      <c r="G65" s="13">
        <v>23</v>
      </c>
      <c r="H65" s="13">
        <v>-3.3</v>
      </c>
    </row>
    <row r="66" spans="1:8">
      <c r="A66" s="11">
        <v>488</v>
      </c>
      <c r="B66" s="13">
        <v>2.83</v>
      </c>
      <c r="C66" s="13">
        <v>195.544175</v>
      </c>
      <c r="D66" s="13">
        <v>10.959133</v>
      </c>
      <c r="E66" s="13">
        <v>-273</v>
      </c>
      <c r="F66" s="13">
        <v>20</v>
      </c>
      <c r="G66" s="13">
        <v>36</v>
      </c>
      <c r="H66" s="13">
        <v>-14</v>
      </c>
    </row>
    <row r="67" spans="1:8">
      <c r="A67" s="11">
        <v>497</v>
      </c>
      <c r="B67" s="13">
        <v>2.27</v>
      </c>
      <c r="C67" s="13">
        <v>200.981413</v>
      </c>
      <c r="D67" s="13">
        <v>54.925382999999997</v>
      </c>
      <c r="E67" s="13">
        <v>121.6</v>
      </c>
      <c r="F67" s="13">
        <v>-20</v>
      </c>
      <c r="G67" s="13">
        <v>37</v>
      </c>
      <c r="H67" s="13">
        <v>-9</v>
      </c>
    </row>
    <row r="68" spans="1:8">
      <c r="A68" s="11">
        <v>498</v>
      </c>
      <c r="B68" s="13">
        <v>0.98</v>
      </c>
      <c r="C68" s="13">
        <v>201.29827900000001</v>
      </c>
      <c r="D68" s="13">
        <v>-11.161308</v>
      </c>
      <c r="E68" s="13">
        <v>-40.9</v>
      </c>
      <c r="F68" s="13">
        <v>-28.3</v>
      </c>
      <c r="G68" s="13">
        <v>21</v>
      </c>
      <c r="H68" s="13">
        <v>1</v>
      </c>
    </row>
    <row r="69" spans="1:8">
      <c r="A69" s="11">
        <v>509</v>
      </c>
      <c r="B69" s="13">
        <v>1.86</v>
      </c>
      <c r="C69" s="13">
        <v>206.885142</v>
      </c>
      <c r="D69" s="13">
        <v>49.313319</v>
      </c>
      <c r="E69" s="13">
        <v>-122.1</v>
      </c>
      <c r="F69" s="13">
        <v>-10.9</v>
      </c>
      <c r="G69" s="13">
        <v>4</v>
      </c>
      <c r="H69" s="13">
        <v>-10.9</v>
      </c>
    </row>
    <row r="70" spans="1:8">
      <c r="A70" s="11">
        <v>518</v>
      </c>
      <c r="B70" s="13">
        <v>0.61</v>
      </c>
      <c r="C70" s="13">
        <v>210.95586700000001</v>
      </c>
      <c r="D70" s="13">
        <v>-60.372996999999998</v>
      </c>
      <c r="E70" s="13">
        <v>-31.6</v>
      </c>
      <c r="F70" s="13">
        <v>-19.3</v>
      </c>
      <c r="G70" s="13">
        <v>16</v>
      </c>
      <c r="H70" s="13">
        <v>-12</v>
      </c>
    </row>
    <row r="71" spans="1:8">
      <c r="A71" s="11">
        <v>520</v>
      </c>
      <c r="B71" s="13">
        <v>2.06</v>
      </c>
      <c r="C71" s="13">
        <v>211.67062899999999</v>
      </c>
      <c r="D71" s="13">
        <v>-36.370007999999999</v>
      </c>
      <c r="E71" s="13">
        <v>-518.5</v>
      </c>
      <c r="F71" s="13">
        <v>-519</v>
      </c>
      <c r="G71" s="13">
        <v>59</v>
      </c>
      <c r="H71" s="13">
        <v>1.3</v>
      </c>
    </row>
    <row r="72" spans="1:8">
      <c r="A72" s="11">
        <v>526</v>
      </c>
      <c r="B72" s="13">
        <v>-0.04</v>
      </c>
      <c r="C72" s="13">
        <v>213.91532100000001</v>
      </c>
      <c r="D72" s="13">
        <v>19.182418999999999</v>
      </c>
      <c r="E72" s="13">
        <v>-1092.9000000000001</v>
      </c>
      <c r="F72" s="13">
        <v>-1998.4</v>
      </c>
      <c r="G72" s="13">
        <v>90</v>
      </c>
      <c r="H72" s="13">
        <v>-5.2</v>
      </c>
    </row>
    <row r="73" spans="1:8">
      <c r="A73" s="11">
        <v>538</v>
      </c>
      <c r="B73" s="13">
        <v>0</v>
      </c>
      <c r="C73" s="13">
        <v>219.89952099999999</v>
      </c>
      <c r="D73" s="13">
        <v>-60.8354</v>
      </c>
      <c r="E73" s="13">
        <v>-3642.2</v>
      </c>
      <c r="F73" s="13">
        <v>699.3</v>
      </c>
      <c r="G73" s="13">
        <v>751</v>
      </c>
      <c r="H73" s="13">
        <v>-22.2</v>
      </c>
    </row>
    <row r="74" spans="1:8">
      <c r="A74" s="11">
        <v>548</v>
      </c>
      <c r="B74" s="13">
        <v>2.75</v>
      </c>
      <c r="C74" s="13">
        <v>222.719638</v>
      </c>
      <c r="D74" s="13">
        <v>-16.041782999999999</v>
      </c>
      <c r="E74" s="13">
        <v>-105.8</v>
      </c>
      <c r="F74" s="13">
        <v>-66.8</v>
      </c>
      <c r="G74" s="13">
        <v>49</v>
      </c>
      <c r="H74" s="13">
        <v>-10</v>
      </c>
    </row>
    <row r="75" spans="1:8">
      <c r="A75" s="11">
        <v>550</v>
      </c>
      <c r="B75" s="13">
        <v>2.08</v>
      </c>
      <c r="C75" s="13">
        <v>222.67644200000001</v>
      </c>
      <c r="D75" s="13">
        <v>74.155494000000004</v>
      </c>
      <c r="E75" s="13">
        <v>-31.2</v>
      </c>
      <c r="F75" s="13">
        <v>12.2</v>
      </c>
      <c r="G75" s="13">
        <v>31</v>
      </c>
      <c r="H75" s="13">
        <v>16.899999999999999</v>
      </c>
    </row>
    <row r="76" spans="1:8">
      <c r="A76" s="11">
        <v>564</v>
      </c>
      <c r="B76" s="13">
        <v>2.61</v>
      </c>
      <c r="C76" s="13">
        <v>229.25175400000001</v>
      </c>
      <c r="D76" s="13">
        <v>-9.3829279999999997</v>
      </c>
      <c r="E76" s="13">
        <v>-96</v>
      </c>
      <c r="F76" s="13">
        <v>-19.100000000000001</v>
      </c>
      <c r="G76" s="13">
        <v>0</v>
      </c>
      <c r="H76" s="13">
        <v>-35.200000000000003</v>
      </c>
    </row>
    <row r="77" spans="1:8">
      <c r="A77" s="11">
        <v>578</v>
      </c>
      <c r="B77" s="13">
        <v>2.23</v>
      </c>
      <c r="C77" s="13">
        <v>233.67198300000001</v>
      </c>
      <c r="D77" s="13">
        <v>26.714706</v>
      </c>
      <c r="E77" s="13">
        <v>121.4</v>
      </c>
      <c r="F77" s="13">
        <v>-88.6</v>
      </c>
      <c r="G77" s="13">
        <v>43</v>
      </c>
      <c r="H77" s="13">
        <v>1.7</v>
      </c>
    </row>
    <row r="78" spans="1:8">
      <c r="A78" s="11">
        <v>582</v>
      </c>
      <c r="B78" s="13">
        <v>2.65</v>
      </c>
      <c r="C78" s="13">
        <v>236.06702899999999</v>
      </c>
      <c r="D78" s="13">
        <v>6.4256419999999999</v>
      </c>
      <c r="E78" s="13">
        <v>136.69999999999999</v>
      </c>
      <c r="F78" s="13">
        <v>46.8</v>
      </c>
      <c r="G78" s="13">
        <v>46</v>
      </c>
      <c r="H78" s="13">
        <v>2.9</v>
      </c>
    </row>
    <row r="79" spans="1:8">
      <c r="A79" s="11">
        <v>616</v>
      </c>
      <c r="B79" s="13">
        <v>0.9</v>
      </c>
      <c r="C79" s="13">
        <v>247.35182900000001</v>
      </c>
      <c r="D79" s="13">
        <v>-26.431985999999998</v>
      </c>
      <c r="E79" s="13">
        <v>-9.5</v>
      </c>
      <c r="F79" s="13">
        <v>-20.3</v>
      </c>
      <c r="G79" s="13">
        <v>19</v>
      </c>
      <c r="H79" s="13">
        <v>-3.2</v>
      </c>
    </row>
    <row r="80" spans="1:8">
      <c r="A80" s="11">
        <v>625</v>
      </c>
      <c r="B80" s="13">
        <v>1.92</v>
      </c>
      <c r="C80" s="13">
        <v>252.166121</v>
      </c>
      <c r="D80" s="13">
        <v>-69.027727999999996</v>
      </c>
      <c r="E80" s="13">
        <v>14</v>
      </c>
      <c r="F80" s="13">
        <v>-34</v>
      </c>
      <c r="G80" s="13">
        <v>24</v>
      </c>
      <c r="H80" s="13">
        <v>-3.6</v>
      </c>
    </row>
    <row r="81" spans="1:8">
      <c r="A81" s="11">
        <v>628</v>
      </c>
      <c r="B81" s="13">
        <v>2.29</v>
      </c>
      <c r="C81" s="13">
        <v>252.54091700000001</v>
      </c>
      <c r="D81" s="13">
        <v>-34.293256</v>
      </c>
      <c r="E81" s="13">
        <v>-610.9</v>
      </c>
      <c r="F81" s="13">
        <v>-255.4</v>
      </c>
      <c r="G81" s="13">
        <v>49</v>
      </c>
      <c r="H81" s="13">
        <v>-2.5</v>
      </c>
    </row>
    <row r="82" spans="1:8">
      <c r="A82" s="10"/>
      <c r="B82" s="13"/>
      <c r="C82" s="13"/>
      <c r="D82" s="13"/>
      <c r="E82" s="13"/>
      <c r="F82" s="13"/>
      <c r="G82" s="13"/>
      <c r="H82" s="13"/>
    </row>
    <row r="83" spans="1:8">
      <c r="A83" s="10"/>
      <c r="B83" s="13"/>
      <c r="C83" s="13"/>
      <c r="D83" s="13"/>
      <c r="E83" s="13"/>
      <c r="F83" s="13"/>
      <c r="G83" s="13"/>
      <c r="H83" s="13"/>
    </row>
    <row r="84" spans="1:8">
      <c r="A84" s="11">
        <v>652</v>
      </c>
      <c r="B84" s="13">
        <v>1.63</v>
      </c>
      <c r="C84" s="13">
        <v>263.40222499999999</v>
      </c>
      <c r="D84" s="13">
        <v>-37.103811</v>
      </c>
      <c r="E84" s="13">
        <v>-1.3</v>
      </c>
      <c r="F84" s="13">
        <v>-29.2</v>
      </c>
      <c r="G84" s="13">
        <v>0</v>
      </c>
      <c r="H84" s="13">
        <v>0</v>
      </c>
    </row>
    <row r="85" spans="1:8">
      <c r="A85" s="11">
        <v>656</v>
      </c>
      <c r="B85" s="13">
        <v>2.08</v>
      </c>
      <c r="C85" s="13">
        <v>263.73365000000001</v>
      </c>
      <c r="D85" s="13">
        <v>12.560039</v>
      </c>
      <c r="E85" s="13">
        <v>120.3</v>
      </c>
      <c r="F85" s="13">
        <v>-226.4</v>
      </c>
      <c r="G85" s="13">
        <v>56</v>
      </c>
      <c r="H85" s="13">
        <v>12.7</v>
      </c>
    </row>
    <row r="86" spans="1:8">
      <c r="A86" s="11">
        <v>654</v>
      </c>
      <c r="B86" s="13">
        <v>1.87</v>
      </c>
      <c r="C86" s="13">
        <v>264.32979599999999</v>
      </c>
      <c r="D86" s="13">
        <v>-42.997836</v>
      </c>
      <c r="E86" s="13">
        <v>14.9</v>
      </c>
      <c r="F86" s="13">
        <v>-1.8</v>
      </c>
      <c r="G86" s="13">
        <v>20</v>
      </c>
      <c r="H86" s="13">
        <v>1.4</v>
      </c>
    </row>
    <row r="87" spans="1:8">
      <c r="A87" s="11">
        <v>676</v>
      </c>
      <c r="B87" s="13">
        <v>2.23</v>
      </c>
      <c r="C87" s="13">
        <v>269.15152899999998</v>
      </c>
      <c r="D87" s="13">
        <v>51.488947000000003</v>
      </c>
      <c r="E87" s="13">
        <v>-7.6</v>
      </c>
      <c r="F87" s="13">
        <v>-19.399999999999999</v>
      </c>
      <c r="G87" s="13">
        <v>17</v>
      </c>
      <c r="H87" s="13">
        <v>-27.6</v>
      </c>
    </row>
    <row r="88" spans="1:8">
      <c r="A88" s="11">
        <v>689</v>
      </c>
      <c r="B88" s="13">
        <v>1.85</v>
      </c>
      <c r="C88" s="13">
        <v>276.04302899999999</v>
      </c>
      <c r="D88" s="13">
        <v>-34.384647000000001</v>
      </c>
      <c r="E88" s="13">
        <v>-38.299999999999997</v>
      </c>
      <c r="F88" s="13">
        <v>-124.1</v>
      </c>
      <c r="G88" s="13">
        <v>15</v>
      </c>
      <c r="H88" s="13">
        <v>-11</v>
      </c>
    </row>
    <row r="89" spans="1:8">
      <c r="A89" s="11">
        <v>699</v>
      </c>
      <c r="B89" s="13">
        <v>0.03</v>
      </c>
      <c r="C89" s="13">
        <v>279.23471699999999</v>
      </c>
      <c r="D89" s="13">
        <v>38.783658000000003</v>
      </c>
      <c r="E89" s="13">
        <v>201.8</v>
      </c>
      <c r="F89" s="13">
        <v>286.10000000000002</v>
      </c>
      <c r="G89" s="13">
        <v>123</v>
      </c>
      <c r="H89" s="13">
        <v>-13.9</v>
      </c>
    </row>
    <row r="90" spans="1:8">
      <c r="A90" s="11">
        <v>706</v>
      </c>
      <c r="B90" s="13">
        <v>2.02</v>
      </c>
      <c r="C90" s="13">
        <v>283.81635</v>
      </c>
      <c r="D90" s="13">
        <v>-26.296731000000001</v>
      </c>
      <c r="E90" s="13">
        <v>13.3</v>
      </c>
      <c r="F90" s="13">
        <v>-54.2</v>
      </c>
      <c r="G90" s="13">
        <v>0</v>
      </c>
      <c r="H90" s="13">
        <v>-11</v>
      </c>
    </row>
    <row r="91" spans="1:8">
      <c r="A91" s="11">
        <v>745</v>
      </c>
      <c r="B91" s="13">
        <v>0.77</v>
      </c>
      <c r="C91" s="13">
        <v>297.69584200000003</v>
      </c>
      <c r="D91" s="13">
        <v>8.8683420000000002</v>
      </c>
      <c r="E91" s="13">
        <v>537.79999999999995</v>
      </c>
      <c r="F91" s="13">
        <v>386.3</v>
      </c>
      <c r="G91" s="13">
        <v>198</v>
      </c>
      <c r="H91" s="13">
        <v>-26.3</v>
      </c>
    </row>
    <row r="92" spans="1:8">
      <c r="A92" s="11">
        <v>765</v>
      </c>
      <c r="B92" s="13">
        <v>2.2000000000000002</v>
      </c>
      <c r="C92" s="13">
        <v>305.55709999999999</v>
      </c>
      <c r="D92" s="13">
        <v>40.256706000000001</v>
      </c>
      <c r="E92" s="13">
        <v>4</v>
      </c>
      <c r="F92" s="13">
        <v>0.3</v>
      </c>
      <c r="G92" s="13">
        <v>0</v>
      </c>
      <c r="H92" s="13">
        <v>-7.5</v>
      </c>
    </row>
    <row r="93" spans="1:8">
      <c r="A93" s="11">
        <v>764</v>
      </c>
      <c r="B93" s="13">
        <v>1.94</v>
      </c>
      <c r="C93" s="13">
        <v>306.41188299999999</v>
      </c>
      <c r="D93" s="13">
        <v>-56.735106000000002</v>
      </c>
      <c r="E93" s="13">
        <v>6.7</v>
      </c>
      <c r="F93" s="13">
        <v>-89.1</v>
      </c>
      <c r="G93" s="13">
        <v>0</v>
      </c>
      <c r="H93" s="13">
        <v>2</v>
      </c>
    </row>
    <row r="94" spans="1:8">
      <c r="A94" s="11">
        <v>777</v>
      </c>
      <c r="B94" s="13">
        <v>1.25</v>
      </c>
      <c r="C94" s="13">
        <v>310.35798799999998</v>
      </c>
      <c r="D94" s="13">
        <v>45.280363999999999</v>
      </c>
      <c r="E94" s="13">
        <v>2.8</v>
      </c>
      <c r="F94" s="13">
        <v>2.2999999999999998</v>
      </c>
      <c r="G94" s="13">
        <v>0</v>
      </c>
      <c r="H94" s="13">
        <v>-4.5999999999999996</v>
      </c>
    </row>
    <row r="95" spans="1:8">
      <c r="A95" s="11">
        <v>803</v>
      </c>
      <c r="B95" s="13">
        <v>2.44</v>
      </c>
      <c r="C95" s="13">
        <v>319.64487100000002</v>
      </c>
      <c r="D95" s="13">
        <v>62.585577999999998</v>
      </c>
      <c r="E95" s="13">
        <v>150.6</v>
      </c>
      <c r="F95" s="13">
        <v>49.4</v>
      </c>
      <c r="G95" s="13">
        <v>63</v>
      </c>
      <c r="H95" s="13">
        <v>-10</v>
      </c>
    </row>
    <row r="96" spans="1:8">
      <c r="A96" s="11">
        <v>815</v>
      </c>
      <c r="B96" s="13">
        <v>0.7</v>
      </c>
      <c r="C96" s="13">
        <v>326.04651699999999</v>
      </c>
      <c r="D96" s="13">
        <v>9.8749780000000005</v>
      </c>
      <c r="E96" s="13">
        <v>30.6</v>
      </c>
      <c r="F96" s="13">
        <v>-0.6</v>
      </c>
      <c r="G96" s="13">
        <v>0</v>
      </c>
      <c r="H96" s="13">
        <v>4.7</v>
      </c>
    </row>
    <row r="97" spans="1:8">
      <c r="A97" s="11">
        <v>819</v>
      </c>
      <c r="B97" s="13">
        <v>2.87</v>
      </c>
      <c r="C97" s="13">
        <v>326.7602</v>
      </c>
      <c r="D97" s="13">
        <v>-16.127296999999999</v>
      </c>
      <c r="E97" s="13">
        <v>263.3</v>
      </c>
      <c r="F97" s="13">
        <v>-296.60000000000002</v>
      </c>
      <c r="G97" s="13">
        <v>65</v>
      </c>
      <c r="H97" s="13">
        <v>-6.3</v>
      </c>
    </row>
    <row r="98" spans="1:8">
      <c r="A98" s="11">
        <v>829</v>
      </c>
      <c r="B98" s="13">
        <v>1.74</v>
      </c>
      <c r="C98" s="13">
        <v>332.058333</v>
      </c>
      <c r="D98" s="13">
        <v>-46.960996999999999</v>
      </c>
      <c r="E98" s="13">
        <v>128.9</v>
      </c>
      <c r="F98" s="13">
        <v>-151</v>
      </c>
      <c r="G98" s="13">
        <v>51</v>
      </c>
      <c r="H98" s="13">
        <v>11.8</v>
      </c>
    </row>
    <row r="99" spans="1:8">
      <c r="A99" s="11">
        <v>856</v>
      </c>
      <c r="B99" s="13">
        <v>2.11</v>
      </c>
      <c r="C99" s="13">
        <v>340.66692899999998</v>
      </c>
      <c r="D99" s="13">
        <v>-46.884636</v>
      </c>
      <c r="E99" s="13">
        <v>136.9</v>
      </c>
      <c r="F99" s="13">
        <v>-8.3000000000000007</v>
      </c>
      <c r="G99" s="13">
        <v>3</v>
      </c>
      <c r="H99" s="13">
        <v>1.6</v>
      </c>
    </row>
    <row r="100" spans="1:8">
      <c r="A100" s="11">
        <v>867</v>
      </c>
      <c r="B100" s="13">
        <v>1.1599999999999999</v>
      </c>
      <c r="C100" s="13">
        <v>344.41272900000001</v>
      </c>
      <c r="D100" s="13">
        <v>-29.622250000000001</v>
      </c>
      <c r="E100" s="13">
        <v>332.6</v>
      </c>
      <c r="F100" s="13">
        <v>-164.7</v>
      </c>
      <c r="G100" s="13">
        <v>144</v>
      </c>
      <c r="H100" s="13">
        <v>6.5</v>
      </c>
    </row>
    <row r="101" spans="1:8">
      <c r="A101" s="11">
        <v>870</v>
      </c>
      <c r="B101" s="13">
        <v>2.42</v>
      </c>
      <c r="C101" s="13">
        <v>345.9436</v>
      </c>
      <c r="D101" s="13">
        <v>28.082806000000001</v>
      </c>
      <c r="E101" s="13">
        <v>189.4</v>
      </c>
      <c r="F101" s="13">
        <v>137.4</v>
      </c>
      <c r="G101" s="13">
        <v>15</v>
      </c>
      <c r="H101" s="13">
        <v>8.6999999999999993</v>
      </c>
    </row>
    <row r="102" spans="1:8">
      <c r="A102" s="11">
        <v>871</v>
      </c>
      <c r="B102" s="13">
        <v>2.4900000000000002</v>
      </c>
      <c r="C102" s="13">
        <v>346.19024200000001</v>
      </c>
      <c r="D102" s="13">
        <v>15.205249999999999</v>
      </c>
      <c r="E102" s="13">
        <v>63.1</v>
      </c>
      <c r="F102" s="13">
        <v>-42.5</v>
      </c>
      <c r="G102" s="13">
        <v>30</v>
      </c>
      <c r="H102" s="13">
        <v>-3.5</v>
      </c>
    </row>
  </sheetData>
  <pageMargins left="0.70866141732283472" right="0.70866141732283472" top="0.74803149606299213" bottom="0.74803149606299213" header="0.31496062992125984" footer="0.31496062992125984"/>
  <pageSetup paperSize="9" scale="9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Federico</dc:creator>
  <cp:lastModifiedBy>Federico</cp:lastModifiedBy>
  <cp:lastPrinted>2014-01-28T12:06:08Z</cp:lastPrinted>
  <dcterms:created xsi:type="dcterms:W3CDTF">2014-01-28T11:14:40Z</dcterms:created>
  <dcterms:modified xsi:type="dcterms:W3CDTF">2014-01-28T12:18:40Z</dcterms:modified>
</cp:coreProperties>
</file>